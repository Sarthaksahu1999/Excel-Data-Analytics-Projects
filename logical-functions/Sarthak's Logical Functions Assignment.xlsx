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vas\OneDrive\Documents\DA excel assignments\"/>
    </mc:Choice>
  </mc:AlternateContent>
  <xr:revisionPtr revIDLastSave="0" documentId="8_{DB4648A8-D669-4C0A-89EC-61451D63AC2D}" xr6:coauthVersionLast="47" xr6:coauthVersionMax="47" xr10:uidLastSave="{00000000-0000-0000-0000-000000000000}"/>
  <bookViews>
    <workbookView xWindow="-108" yWindow="-108" windowWidth="21336" windowHeight="11376" xr2:uid="{89EBDF82-D788-4CAD-8ADF-4228C2C168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3" i="1" l="1"/>
  <c r="I82" i="1"/>
  <c r="J72" i="1"/>
  <c r="J63" i="1"/>
  <c r="I54" i="1"/>
  <c r="J45" i="1"/>
  <c r="I34" i="1"/>
  <c r="H30" i="1"/>
  <c r="I21" i="1"/>
  <c r="J12" i="1"/>
  <c r="I7" i="1"/>
</calcChain>
</file>

<file path=xl/sharedStrings.xml><?xml version="1.0" encoding="utf-8"?>
<sst xmlns="http://schemas.openxmlformats.org/spreadsheetml/2006/main" count="114" uniqueCount="61">
  <si>
    <t>Question 1 :</t>
  </si>
  <si>
    <t>Product</t>
  </si>
  <si>
    <t>Sales</t>
  </si>
  <si>
    <t>Product A</t>
  </si>
  <si>
    <t>Product B</t>
  </si>
  <si>
    <t>Product C</t>
  </si>
  <si>
    <t>Solution:</t>
  </si>
  <si>
    <t>Total Sales of Product B and Product C</t>
  </si>
  <si>
    <t xml:space="preserve"> [ =SUM(B5,B6) ]</t>
  </si>
  <si>
    <t>Question 2:</t>
  </si>
  <si>
    <t>Formula to count the number of cells that contain numeric values in the range A1:A10 -&gt;</t>
  </si>
  <si>
    <t>[ =COUNT(A1:A10) ]</t>
  </si>
  <si>
    <t>Question 3:</t>
  </si>
  <si>
    <t>Student</t>
  </si>
  <si>
    <t>Score</t>
  </si>
  <si>
    <t>Alice</t>
  </si>
  <si>
    <t>Bob</t>
  </si>
  <si>
    <t>Charlie</t>
  </si>
  <si>
    <t xml:space="preserve">Solution: </t>
  </si>
  <si>
    <t>Formula to find the average score of students who scored above 80:</t>
  </si>
  <si>
    <r>
      <rPr>
        <b/>
        <sz val="11"/>
        <color rgb="FF196B24"/>
        <rFont val="Aptos Narrow"/>
        <family val="2"/>
      </rPr>
      <t xml:space="preserve">[ =AVERAGEIF(B17:B19,"&gt;80") </t>
    </r>
    <r>
      <rPr>
        <sz val="11"/>
        <color rgb="FF000000"/>
        <rFont val="Aptos Narrow"/>
        <family val="2"/>
      </rPr>
      <t>]</t>
    </r>
  </si>
  <si>
    <t>Question 4:</t>
  </si>
  <si>
    <t>Empoyee</t>
  </si>
  <si>
    <t>Department</t>
  </si>
  <si>
    <t>Salary</t>
  </si>
  <si>
    <t>HR</t>
  </si>
  <si>
    <t>IT</t>
  </si>
  <si>
    <t>To sort the following dataset  by "Department" (A-Z)</t>
  </si>
  <si>
    <t>[ =SORT(A26:B28,2,1) ]</t>
  </si>
  <si>
    <t>To sort the following dataset by "Salary" (Largest to Smallest)?</t>
  </si>
  <si>
    <t>[ =SORT(A26:C28,3,-1) ]</t>
  </si>
  <si>
    <t>Question 5:</t>
  </si>
  <si>
    <t>Revenue</t>
  </si>
  <si>
    <t>Formula to calculate the second smallest value in the "Revenue" column:</t>
  </si>
  <si>
    <t>[ =SMALL(B41:B43,2) ]</t>
  </si>
  <si>
    <t>Question 6:</t>
  </si>
  <si>
    <t>Employee</t>
  </si>
  <si>
    <t>To count the number of employees in the "Sales" department:</t>
  </si>
  <si>
    <t>[ =COUNTIF(B50:B52,"Sales") ]</t>
  </si>
  <si>
    <t>Question 7:</t>
  </si>
  <si>
    <t>Item</t>
  </si>
  <si>
    <t>Units Sold</t>
  </si>
  <si>
    <t>Item A</t>
  </si>
  <si>
    <t>Item B</t>
  </si>
  <si>
    <t>Item C</t>
  </si>
  <si>
    <t>Formula to calculate the total sales only for items that sold more than 200 units:</t>
  </si>
  <si>
    <t>[ =SUMIF(B59:B61,"&gt;200") ]</t>
  </si>
  <si>
    <t>Question 8:</t>
  </si>
  <si>
    <t>Price</t>
  </si>
  <si>
    <t>Availability</t>
  </si>
  <si>
    <t>Available</t>
  </si>
  <si>
    <t>Unavailable</t>
  </si>
  <si>
    <t>Formula to find the maximum price of items that are marked as "Available":</t>
  </si>
  <si>
    <t>[ =MAXIFS(B68:B70,C68:C70,"Available") ]</t>
  </si>
  <si>
    <t>Question 9:</t>
  </si>
  <si>
    <t>Formula  to filter and count all employees earning above 5000 in</t>
  </si>
  <si>
    <t>[ =COUNTIFS(B78:B80,"HR",C78:C80,"&gt;5000") ]</t>
  </si>
  <si>
    <t>the "HR" department?</t>
  </si>
  <si>
    <t>Question 10:</t>
  </si>
  <si>
    <t>Formula to calculate the average sales of items priced above 100 but less than 300:</t>
  </si>
  <si>
    <t>[ =AVERAGEIFS(C88:C90,B88:B90,"&gt;100",B88:B90,"&lt;300")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</si>
</sst>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ptos Narrow"/>
      <family val="2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b/>
      <sz val="11"/>
      <color rgb="FF196B24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3" fontId="0" fillId="0" borderId="0" xfId="0" applyNumberFormat="1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3" fontId="5" fillId="0" borderId="0" xfId="0" applyNumberFormat="1" applyFont="1" applyAlignment="1">
      <alignment horizontal="left"/>
    </xf>
    <xf numFmtId="4" fontId="3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46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5A35-E71B-43B6-9F3E-D6C5356DD4D5}">
  <dimension ref="A1:L94"/>
  <sheetViews>
    <sheetView tabSelected="1" workbookViewId="0">
      <selection activeCell="N8" sqref="N8"/>
    </sheetView>
  </sheetViews>
  <sheetFormatPr defaultRowHeight="14.4" x14ac:dyDescent="0.3"/>
  <cols>
    <col min="1" max="1" width="14.109375" bestFit="1" customWidth="1"/>
    <col min="2" max="2" width="11" style="2" bestFit="1" customWidth="1"/>
    <col min="3" max="3" width="14.109375" style="2" bestFit="1" customWidth="1"/>
    <col min="4" max="8" width="14.109375" bestFit="1" customWidth="1"/>
    <col min="9" max="11" width="14.109375" style="2" bestFit="1" customWidth="1"/>
    <col min="12" max="12" width="14.109375" bestFit="1" customWidth="1"/>
  </cols>
  <sheetData>
    <row r="1" spans="1:11" ht="22.5" customHeight="1" x14ac:dyDescent="0.35">
      <c r="A1" s="1" t="s">
        <v>0</v>
      </c>
    </row>
    <row r="2" spans="1:11" ht="19.5" customHeight="1" x14ac:dyDescent="0.3"/>
    <row r="3" spans="1:11" ht="20.25" customHeight="1" x14ac:dyDescent="0.3">
      <c r="A3" s="3" t="s">
        <v>1</v>
      </c>
      <c r="B3" s="4" t="s">
        <v>2</v>
      </c>
    </row>
    <row r="4" spans="1:11" ht="19.5" customHeight="1" x14ac:dyDescent="0.3">
      <c r="A4" t="s">
        <v>3</v>
      </c>
      <c r="B4" s="5">
        <v>150</v>
      </c>
    </row>
    <row r="5" spans="1:11" ht="19.5" customHeight="1" x14ac:dyDescent="0.3">
      <c r="A5" t="s">
        <v>4</v>
      </c>
      <c r="B5" s="5">
        <v>300</v>
      </c>
    </row>
    <row r="6" spans="1:11" ht="19.5" customHeight="1" x14ac:dyDescent="0.3">
      <c r="A6" t="s">
        <v>5</v>
      </c>
      <c r="B6" s="5">
        <v>450</v>
      </c>
      <c r="J6" s="6"/>
      <c r="K6" s="6"/>
    </row>
    <row r="7" spans="1:11" ht="19.5" customHeight="1" x14ac:dyDescent="0.3">
      <c r="A7" s="7" t="s">
        <v>6</v>
      </c>
      <c r="E7" s="7" t="s">
        <v>7</v>
      </c>
      <c r="F7" s="7"/>
      <c r="G7" s="7"/>
      <c r="H7" s="7"/>
      <c r="I7" s="5">
        <f>SUM(B5,B6)</f>
        <v>750</v>
      </c>
      <c r="J7" s="8" t="s">
        <v>8</v>
      </c>
    </row>
    <row r="8" spans="1:11" ht="19.5" customHeight="1" x14ac:dyDescent="0.3"/>
    <row r="9" spans="1:11" ht="22.5" customHeight="1" x14ac:dyDescent="0.35">
      <c r="A9" s="1" t="s">
        <v>9</v>
      </c>
    </row>
    <row r="10" spans="1:11" ht="19.5" customHeight="1" x14ac:dyDescent="0.3"/>
    <row r="11" spans="1:11" ht="19.5" customHeight="1" x14ac:dyDescent="0.3">
      <c r="A11" s="7" t="s">
        <v>6</v>
      </c>
    </row>
    <row r="12" spans="1:11" ht="20.25" customHeight="1" x14ac:dyDescent="0.3">
      <c r="A12" s="3" t="s">
        <v>10</v>
      </c>
      <c r="B12" s="4"/>
      <c r="C12" s="4"/>
      <c r="D12" s="3"/>
      <c r="E12" s="3"/>
      <c r="F12" s="3"/>
      <c r="G12" s="3"/>
      <c r="H12" s="3"/>
      <c r="I12" s="4"/>
      <c r="J12" s="5">
        <f>COUNT(A1:A10)</f>
        <v>0</v>
      </c>
      <c r="K12" s="8" t="s">
        <v>11</v>
      </c>
    </row>
    <row r="13" spans="1:11" ht="19.5" customHeight="1" x14ac:dyDescent="0.3"/>
    <row r="14" spans="1:11" ht="22.5" customHeight="1" x14ac:dyDescent="0.35">
      <c r="A14" s="1" t="s">
        <v>12</v>
      </c>
    </row>
    <row r="15" spans="1:11" ht="19.5" customHeight="1" x14ac:dyDescent="0.3"/>
    <row r="16" spans="1:11" ht="20.25" customHeight="1" x14ac:dyDescent="0.3">
      <c r="A16" s="3" t="s">
        <v>13</v>
      </c>
      <c r="B16" s="4" t="s">
        <v>14</v>
      </c>
    </row>
    <row r="17" spans="1:10" ht="19.5" customHeight="1" x14ac:dyDescent="0.3">
      <c r="A17" t="s">
        <v>15</v>
      </c>
      <c r="B17" s="5">
        <v>85</v>
      </c>
    </row>
    <row r="18" spans="1:10" ht="19.5" customHeight="1" x14ac:dyDescent="0.3">
      <c r="A18" t="s">
        <v>16</v>
      </c>
      <c r="B18" s="5">
        <v>75</v>
      </c>
    </row>
    <row r="19" spans="1:10" ht="19.5" customHeight="1" x14ac:dyDescent="0.3">
      <c r="A19" t="s">
        <v>17</v>
      </c>
      <c r="B19" s="5">
        <v>90</v>
      </c>
    </row>
    <row r="20" spans="1:10" ht="19.5" customHeight="1" x14ac:dyDescent="0.3"/>
    <row r="21" spans="1:10" ht="19.5" customHeight="1" x14ac:dyDescent="0.3">
      <c r="A21" s="7" t="s">
        <v>18</v>
      </c>
      <c r="C21" s="6" t="s">
        <v>19</v>
      </c>
      <c r="I21" s="9">
        <f>AVERAGEIF(B17:B19,"&gt;80")</f>
        <v>87.5</v>
      </c>
      <c r="J21" s="2" t="s">
        <v>20</v>
      </c>
    </row>
    <row r="22" spans="1:10" ht="19.5" customHeight="1" x14ac:dyDescent="0.3"/>
    <row r="23" spans="1:10" ht="19.5" customHeight="1" x14ac:dyDescent="0.35">
      <c r="A23" s="1" t="s">
        <v>21</v>
      </c>
    </row>
    <row r="24" spans="1:10" ht="19.5" customHeight="1" x14ac:dyDescent="0.3"/>
    <row r="25" spans="1:10" ht="19.5" customHeight="1" x14ac:dyDescent="0.3">
      <c r="A25" s="3" t="s">
        <v>22</v>
      </c>
      <c r="B25" s="4" t="s">
        <v>23</v>
      </c>
      <c r="C25" s="4" t="s">
        <v>24</v>
      </c>
    </row>
    <row r="26" spans="1:10" ht="19.5" customHeight="1" x14ac:dyDescent="0.3">
      <c r="A26" t="s">
        <v>15</v>
      </c>
      <c r="B26" s="2" t="s">
        <v>25</v>
      </c>
      <c r="C26" s="5">
        <v>5000</v>
      </c>
    </row>
    <row r="27" spans="1:10" ht="19.5" customHeight="1" x14ac:dyDescent="0.3">
      <c r="A27" t="s">
        <v>16</v>
      </c>
      <c r="B27" s="2" t="s">
        <v>26</v>
      </c>
      <c r="C27" s="5">
        <v>8000</v>
      </c>
    </row>
    <row r="28" spans="1:10" ht="19.5" customHeight="1" x14ac:dyDescent="0.3">
      <c r="A28" t="s">
        <v>17</v>
      </c>
      <c r="B28" s="2" t="s">
        <v>25</v>
      </c>
      <c r="C28" s="5">
        <v>4500</v>
      </c>
    </row>
    <row r="29" spans="1:10" ht="19.5" customHeight="1" x14ac:dyDescent="0.3"/>
    <row r="30" spans="1:10" ht="19.5" customHeight="1" x14ac:dyDescent="0.3">
      <c r="A30" s="7" t="s">
        <v>6</v>
      </c>
      <c r="C30" s="6" t="s">
        <v>27</v>
      </c>
      <c r="H30" t="str">
        <f>_xlfn._xlws.SORT(A26:B28,2,1)</f>
        <v>Alice</v>
      </c>
      <c r="I30" s="2" t="s">
        <v>25</v>
      </c>
      <c r="J30" s="8" t="s">
        <v>28</v>
      </c>
    </row>
    <row r="31" spans="1:10" ht="19.5" customHeight="1" x14ac:dyDescent="0.3">
      <c r="H31" t="s">
        <v>17</v>
      </c>
      <c r="I31" s="2" t="s">
        <v>25</v>
      </c>
    </row>
    <row r="32" spans="1:10" ht="19.5" customHeight="1" x14ac:dyDescent="0.3">
      <c r="H32" t="s">
        <v>16</v>
      </c>
      <c r="I32" s="2" t="s">
        <v>26</v>
      </c>
    </row>
    <row r="33" spans="1:12" ht="19.5" customHeight="1" x14ac:dyDescent="0.3"/>
    <row r="34" spans="1:12" ht="19.5" customHeight="1" x14ac:dyDescent="0.3">
      <c r="C34" s="6" t="s">
        <v>29</v>
      </c>
      <c r="I34" s="2" t="str">
        <f>_xlfn._xlws.SORT(A26:C28,3,-1)</f>
        <v>Bob</v>
      </c>
      <c r="J34" s="2" t="s">
        <v>26</v>
      </c>
      <c r="K34" s="5">
        <v>8000</v>
      </c>
      <c r="L34" s="10" t="s">
        <v>30</v>
      </c>
    </row>
    <row r="35" spans="1:12" ht="19.5" customHeight="1" x14ac:dyDescent="0.3">
      <c r="I35" s="2" t="s">
        <v>15</v>
      </c>
      <c r="J35" s="2" t="s">
        <v>25</v>
      </c>
      <c r="K35" s="5">
        <v>5000</v>
      </c>
    </row>
    <row r="36" spans="1:12" ht="19.5" customHeight="1" x14ac:dyDescent="0.3">
      <c r="I36" s="2" t="s">
        <v>17</v>
      </c>
      <c r="J36" s="2" t="s">
        <v>25</v>
      </c>
      <c r="K36" s="5">
        <v>4500</v>
      </c>
    </row>
    <row r="37" spans="1:12" ht="19.5" customHeight="1" x14ac:dyDescent="0.3"/>
    <row r="38" spans="1:12" ht="19.5" customHeight="1" x14ac:dyDescent="0.35">
      <c r="A38" s="1" t="s">
        <v>31</v>
      </c>
    </row>
    <row r="39" spans="1:12" ht="19.5" customHeight="1" x14ac:dyDescent="0.3"/>
    <row r="40" spans="1:12" ht="19.5" customHeight="1" x14ac:dyDescent="0.3">
      <c r="A40" s="3" t="s">
        <v>1</v>
      </c>
      <c r="B40" s="4" t="s">
        <v>32</v>
      </c>
    </row>
    <row r="41" spans="1:12" ht="19.5" customHeight="1" x14ac:dyDescent="0.3">
      <c r="A41" t="s">
        <v>3</v>
      </c>
      <c r="B41" s="5">
        <v>1500</v>
      </c>
    </row>
    <row r="42" spans="1:12" ht="19.5" customHeight="1" x14ac:dyDescent="0.3">
      <c r="A42" t="s">
        <v>4</v>
      </c>
      <c r="B42" s="5">
        <v>1200</v>
      </c>
    </row>
    <row r="43" spans="1:12" ht="19.5" customHeight="1" x14ac:dyDescent="0.3">
      <c r="A43" t="s">
        <v>5</v>
      </c>
      <c r="B43" s="5">
        <v>1800</v>
      </c>
    </row>
    <row r="44" spans="1:12" ht="19.5" customHeight="1" x14ac:dyDescent="0.3"/>
    <row r="45" spans="1:12" ht="19.5" customHeight="1" x14ac:dyDescent="0.3">
      <c r="A45" s="7" t="s">
        <v>6</v>
      </c>
      <c r="C45" s="6" t="s">
        <v>33</v>
      </c>
      <c r="J45" s="5">
        <f>SMALL(B41:B43,2)</f>
        <v>1500</v>
      </c>
      <c r="K45" s="8" t="s">
        <v>34</v>
      </c>
    </row>
    <row r="46" spans="1:12" ht="19.5" customHeight="1" x14ac:dyDescent="0.3"/>
    <row r="47" spans="1:12" ht="19.5" customHeight="1" x14ac:dyDescent="0.35">
      <c r="A47" s="1" t="s">
        <v>35</v>
      </c>
    </row>
    <row r="48" spans="1:12" ht="19.5" customHeight="1" x14ac:dyDescent="0.3"/>
    <row r="49" spans="1:11" ht="19.5" customHeight="1" x14ac:dyDescent="0.3">
      <c r="A49" s="7" t="s">
        <v>36</v>
      </c>
      <c r="B49" s="6" t="s">
        <v>23</v>
      </c>
    </row>
    <row r="50" spans="1:11" ht="19.5" customHeight="1" x14ac:dyDescent="0.3">
      <c r="A50" t="s">
        <v>15</v>
      </c>
      <c r="B50" s="2" t="s">
        <v>26</v>
      </c>
    </row>
    <row r="51" spans="1:11" ht="19.5" customHeight="1" x14ac:dyDescent="0.3">
      <c r="A51" t="s">
        <v>16</v>
      </c>
      <c r="B51" s="2" t="s">
        <v>2</v>
      </c>
    </row>
    <row r="52" spans="1:11" ht="19.5" customHeight="1" x14ac:dyDescent="0.3">
      <c r="A52" t="s">
        <v>17</v>
      </c>
      <c r="B52" s="2" t="s">
        <v>2</v>
      </c>
    </row>
    <row r="53" spans="1:11" ht="19.5" customHeight="1" x14ac:dyDescent="0.3"/>
    <row r="54" spans="1:11" ht="19.5" customHeight="1" x14ac:dyDescent="0.3">
      <c r="A54" s="7" t="s">
        <v>6</v>
      </c>
      <c r="C54" s="6" t="s">
        <v>37</v>
      </c>
      <c r="I54" s="5">
        <f>COUNTIF(B50:B52,"Sales")</f>
        <v>2</v>
      </c>
      <c r="J54" s="8" t="s">
        <v>38</v>
      </c>
    </row>
    <row r="55" spans="1:11" ht="19.5" customHeight="1" x14ac:dyDescent="0.3"/>
    <row r="56" spans="1:11" ht="19.5" customHeight="1" x14ac:dyDescent="0.35">
      <c r="A56" s="1" t="s">
        <v>39</v>
      </c>
    </row>
    <row r="57" spans="1:11" ht="19.5" customHeight="1" x14ac:dyDescent="0.3"/>
    <row r="58" spans="1:11" ht="19.5" customHeight="1" x14ac:dyDescent="0.3">
      <c r="A58" s="3" t="s">
        <v>40</v>
      </c>
      <c r="B58" s="4" t="s">
        <v>41</v>
      </c>
    </row>
    <row r="59" spans="1:11" ht="19.5" customHeight="1" x14ac:dyDescent="0.3">
      <c r="A59" t="s">
        <v>42</v>
      </c>
      <c r="B59" s="5">
        <v>150</v>
      </c>
    </row>
    <row r="60" spans="1:11" ht="19.5" customHeight="1" x14ac:dyDescent="0.3">
      <c r="A60" t="s">
        <v>43</v>
      </c>
      <c r="B60" s="5">
        <v>300</v>
      </c>
    </row>
    <row r="61" spans="1:11" ht="19.5" customHeight="1" x14ac:dyDescent="0.3">
      <c r="A61" t="s">
        <v>44</v>
      </c>
      <c r="B61" s="5">
        <v>250</v>
      </c>
    </row>
    <row r="62" spans="1:11" ht="19.5" customHeight="1" x14ac:dyDescent="0.3"/>
    <row r="63" spans="1:11" ht="19.5" customHeight="1" x14ac:dyDescent="0.3">
      <c r="A63" s="7" t="s">
        <v>6</v>
      </c>
      <c r="C63" s="6" t="s">
        <v>45</v>
      </c>
      <c r="J63" s="5">
        <f>SUMIF(B59:B61,"&gt;200")</f>
        <v>550</v>
      </c>
      <c r="K63" s="8" t="s">
        <v>46</v>
      </c>
    </row>
    <row r="64" spans="1:11" ht="19.5" customHeight="1" x14ac:dyDescent="0.3"/>
    <row r="65" spans="1:11" ht="19.5" customHeight="1" x14ac:dyDescent="0.35">
      <c r="A65" s="1" t="s">
        <v>47</v>
      </c>
    </row>
    <row r="66" spans="1:11" ht="19.5" customHeight="1" x14ac:dyDescent="0.3"/>
    <row r="67" spans="1:11" ht="19.5" customHeight="1" x14ac:dyDescent="0.3">
      <c r="A67" s="3" t="s">
        <v>40</v>
      </c>
      <c r="B67" s="4" t="s">
        <v>48</v>
      </c>
      <c r="C67" s="4" t="s">
        <v>49</v>
      </c>
    </row>
    <row r="68" spans="1:11" ht="19.5" customHeight="1" x14ac:dyDescent="0.3">
      <c r="A68" t="s">
        <v>42</v>
      </c>
      <c r="B68" s="5">
        <v>200</v>
      </c>
      <c r="C68" s="2" t="s">
        <v>50</v>
      </c>
    </row>
    <row r="69" spans="1:11" ht="19.5" customHeight="1" x14ac:dyDescent="0.3">
      <c r="A69" t="s">
        <v>43</v>
      </c>
      <c r="B69" s="5">
        <v>150</v>
      </c>
      <c r="C69" s="2" t="s">
        <v>51</v>
      </c>
    </row>
    <row r="70" spans="1:11" ht="19.5" customHeight="1" x14ac:dyDescent="0.3">
      <c r="A70" t="s">
        <v>44</v>
      </c>
      <c r="B70" s="5">
        <v>250</v>
      </c>
      <c r="C70" s="2" t="s">
        <v>50</v>
      </c>
    </row>
    <row r="71" spans="1:11" ht="19.5" customHeight="1" x14ac:dyDescent="0.3"/>
    <row r="72" spans="1:11" ht="19.5" customHeight="1" x14ac:dyDescent="0.3">
      <c r="A72" s="7" t="s">
        <v>6</v>
      </c>
      <c r="C72" s="6" t="s">
        <v>52</v>
      </c>
      <c r="J72" s="5">
        <f>_xlfn.MAXIFS(B68:B70,C68:C70,"Available")</f>
        <v>250</v>
      </c>
      <c r="K72" s="8" t="s">
        <v>53</v>
      </c>
    </row>
    <row r="73" spans="1:11" ht="19.5" customHeight="1" x14ac:dyDescent="0.3"/>
    <row r="74" spans="1:11" ht="19.5" customHeight="1" x14ac:dyDescent="0.3"/>
    <row r="75" spans="1:11" ht="19.5" customHeight="1" x14ac:dyDescent="0.35">
      <c r="A75" s="1" t="s">
        <v>54</v>
      </c>
    </row>
    <row r="76" spans="1:11" ht="19.5" customHeight="1" x14ac:dyDescent="0.3"/>
    <row r="77" spans="1:11" ht="19.5" customHeight="1" x14ac:dyDescent="0.3">
      <c r="A77" t="s">
        <v>36</v>
      </c>
      <c r="B77" s="2" t="s">
        <v>23</v>
      </c>
      <c r="C77" s="2" t="s">
        <v>24</v>
      </c>
    </row>
    <row r="78" spans="1:11" ht="19.5" customHeight="1" x14ac:dyDescent="0.3">
      <c r="A78" t="s">
        <v>15</v>
      </c>
      <c r="B78" s="2" t="s">
        <v>25</v>
      </c>
      <c r="C78" s="5">
        <v>4000</v>
      </c>
    </row>
    <row r="79" spans="1:11" ht="19.5" customHeight="1" x14ac:dyDescent="0.3">
      <c r="A79" t="s">
        <v>16</v>
      </c>
      <c r="B79" s="2" t="s">
        <v>25</v>
      </c>
      <c r="C79" s="5">
        <v>5500</v>
      </c>
    </row>
    <row r="80" spans="1:11" ht="19.5" customHeight="1" x14ac:dyDescent="0.3">
      <c r="A80" t="s">
        <v>17</v>
      </c>
      <c r="B80" s="2" t="s">
        <v>26</v>
      </c>
      <c r="C80" s="5">
        <v>6000</v>
      </c>
    </row>
    <row r="81" spans="1:12" ht="19.5" customHeight="1" x14ac:dyDescent="0.3"/>
    <row r="82" spans="1:12" ht="19.5" customHeight="1" x14ac:dyDescent="0.3">
      <c r="A82" s="7" t="s">
        <v>6</v>
      </c>
      <c r="C82" s="6" t="s">
        <v>55</v>
      </c>
      <c r="I82" s="5">
        <f>COUNTIFS(B78:B80,"HR",C78:C80,"&gt;5000")</f>
        <v>1</v>
      </c>
      <c r="J82" s="8" t="s">
        <v>56</v>
      </c>
    </row>
    <row r="83" spans="1:12" ht="19.5" customHeight="1" x14ac:dyDescent="0.3">
      <c r="C83" s="6" t="s">
        <v>57</v>
      </c>
    </row>
    <row r="84" spans="1:12" ht="19.5" customHeight="1" x14ac:dyDescent="0.3"/>
    <row r="85" spans="1:12" ht="19.5" customHeight="1" x14ac:dyDescent="0.35">
      <c r="A85" s="1" t="s">
        <v>58</v>
      </c>
    </row>
    <row r="86" spans="1:12" ht="19.5" customHeight="1" x14ac:dyDescent="0.3">
      <c r="A86" s="7"/>
    </row>
    <row r="87" spans="1:12" ht="19.5" customHeight="1" x14ac:dyDescent="0.3">
      <c r="A87" s="7" t="s">
        <v>40</v>
      </c>
      <c r="B87" s="6" t="s">
        <v>48</v>
      </c>
      <c r="C87" s="6" t="s">
        <v>2</v>
      </c>
    </row>
    <row r="88" spans="1:12" ht="19.5" customHeight="1" x14ac:dyDescent="0.3">
      <c r="A88" t="s">
        <v>42</v>
      </c>
      <c r="B88" s="5">
        <v>90</v>
      </c>
      <c r="C88" s="5">
        <v>1000</v>
      </c>
    </row>
    <row r="89" spans="1:12" ht="19.5" customHeight="1" x14ac:dyDescent="0.3">
      <c r="A89" t="s">
        <v>43</v>
      </c>
      <c r="B89" s="5">
        <v>150</v>
      </c>
      <c r="C89" s="5">
        <v>1200</v>
      </c>
    </row>
    <row r="90" spans="1:12" ht="19.5" customHeight="1" x14ac:dyDescent="0.3">
      <c r="A90" t="s">
        <v>44</v>
      </c>
      <c r="B90" s="5">
        <v>250</v>
      </c>
      <c r="C90" s="5">
        <v>1500</v>
      </c>
    </row>
    <row r="91" spans="1:12" ht="19.5" customHeight="1" x14ac:dyDescent="0.3"/>
    <row r="92" spans="1:12" ht="19.5" customHeight="1" x14ac:dyDescent="0.3">
      <c r="A92" s="7" t="s">
        <v>6</v>
      </c>
    </row>
    <row r="93" spans="1:12" ht="19.5" customHeight="1" x14ac:dyDescent="0.3">
      <c r="C93" s="6" t="s">
        <v>59</v>
      </c>
      <c r="K93" s="5">
        <f>AVERAGEIFS(C88:C90,B88:B90,"&gt;100",B88:B90,"&lt;300")</f>
        <v>1350</v>
      </c>
      <c r="L93" s="10" t="s">
        <v>60</v>
      </c>
    </row>
    <row r="94" spans="1:12" ht="19.5" customHeight="1" x14ac:dyDescent="0.3">
      <c r="C9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sarthak.sahu2448@gmail.com</dc:creator>
  <cp:lastModifiedBy>sarthak.sahu2448@gmail.com</cp:lastModifiedBy>
  <dcterms:created xsi:type="dcterms:W3CDTF">2026-01-13T19:01:47Z</dcterms:created>
  <dcterms:modified xsi:type="dcterms:W3CDTF">2026-01-13T19:03:33Z</dcterms:modified>
</cp:coreProperties>
</file>