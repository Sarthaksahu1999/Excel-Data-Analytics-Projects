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vas\OneDrive\Documents\DA excel assignments\"/>
    </mc:Choice>
  </mc:AlternateContent>
  <xr:revisionPtr revIDLastSave="0" documentId="8_{91913DAC-0F6E-4435-960A-BDB94BB8B71B}" xr6:coauthVersionLast="47" xr6:coauthVersionMax="47" xr10:uidLastSave="{00000000-0000-0000-0000-000000000000}"/>
  <bookViews>
    <workbookView xWindow="-108" yWindow="-108" windowWidth="21336" windowHeight="11376" xr2:uid="{3CA3C3E2-EE0A-4D2A-B515-51D3229B6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2" i="1" l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K23" i="1"/>
  <c r="W22" i="1"/>
  <c r="R22" i="1"/>
  <c r="W21" i="1"/>
  <c r="W20" i="1"/>
  <c r="R20" i="1"/>
  <c r="W19" i="1"/>
  <c r="W18" i="1"/>
  <c r="W17" i="1"/>
  <c r="W16" i="1"/>
  <c r="R14" i="1"/>
  <c r="R13" i="1"/>
  <c r="R11" i="1" a="1"/>
  <c r="R11" i="1" s="1"/>
  <c r="R9" i="1"/>
  <c r="R7" i="1"/>
  <c r="R5" i="1"/>
  <c r="R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<sst xmlns="http://schemas.openxmlformats.org/spreadsheetml/2006/main" count="336" uniqueCount="137">
  <si>
    <t>Product ID</t>
  </si>
  <si>
    <t>Product Name</t>
  </si>
  <si>
    <t>Category</t>
  </si>
  <si>
    <t>Price</t>
  </si>
  <si>
    <t>Stock</t>
  </si>
  <si>
    <t>Supplier</t>
  </si>
  <si>
    <t>LOOKUP DPP ASSIGNMENT</t>
  </si>
  <si>
    <t>Product_1</t>
  </si>
  <si>
    <t>Home Appliances</t>
  </si>
  <si>
    <t>Supplier_C</t>
  </si>
  <si>
    <t>Product_2</t>
  </si>
  <si>
    <t>Stationery</t>
  </si>
  <si>
    <t>1. Find the Price of Product with ID 25.</t>
  </si>
  <si>
    <t>Solution:</t>
  </si>
  <si>
    <t>[  =VLOOKUP(A26,A:D,4,0)  ]</t>
  </si>
  <si>
    <t>Product_3</t>
  </si>
  <si>
    <t>Electronics</t>
  </si>
  <si>
    <t>Supplier_D</t>
  </si>
  <si>
    <t>Product_4</t>
  </si>
  <si>
    <t>2. What is the Stock for the product "Product_50"?</t>
  </si>
  <si>
    <t>[  =VLOOKUP(B51,B:E,4,0)  ]</t>
  </si>
  <si>
    <t>Product_5</t>
  </si>
  <si>
    <t>Supplier_A</t>
  </si>
  <si>
    <t>Product_6</t>
  </si>
  <si>
    <t>3. Retrieve the Supplier name of the product with the highest Price.</t>
  </si>
  <si>
    <t>[  =VLOOKUP(MAX(D:D),D:F,3,0)  ]</t>
  </si>
  <si>
    <t>Product_7</t>
  </si>
  <si>
    <t>Supplier_B</t>
  </si>
  <si>
    <t>Product_8</t>
  </si>
  <si>
    <t>4. Find the Category of the product with the lowest Stock.</t>
  </si>
  <si>
    <t>[  =XLOOKUP(MIN(E:E),E:E,C:C)  ]</t>
  </si>
  <si>
    <t>Product_9</t>
  </si>
  <si>
    <t>Product_10</t>
  </si>
  <si>
    <t>Accessories</t>
  </si>
  <si>
    <t>5. Check if "Supplier_C" supplies any product in the "Electronics" category.</t>
  </si>
  <si>
    <t>[  =INDEX(B:B, MATCH(1, (C:C= "Electronics")*(F:F= "Supplier_C"),0))  ]</t>
  </si>
  <si>
    <t>Product_11</t>
  </si>
  <si>
    <t>Product_12</t>
  </si>
  <si>
    <t>6. Check if there is any product with a stock less than 100. If yes, find its name.</t>
  </si>
  <si>
    <t xml:space="preserve">{ By using two </t>
  </si>
  <si>
    <t>[  =IF(VLOOKUP(A16,A:E,5,FALSE)&lt;100,"Yes","No")  ]</t>
  </si>
  <si>
    <t>Product_13</t>
  </si>
  <si>
    <t>(Hint : Use IF and VLOOKUP)</t>
  </si>
  <si>
    <t>Seperated Formula }</t>
  </si>
  <si>
    <t>[  =IF(VLOOKUP(A16,A:E,5,FALSE)&lt;100, VLOOKUP(15,A:E,2,FALSE), "No ")  ]</t>
  </si>
  <si>
    <t>Product_14</t>
  </si>
  <si>
    <t>Product_15</t>
  </si>
  <si>
    <t>To directly return Product name ( Product with stock &lt;100 return "No"):</t>
  </si>
  <si>
    <t>Product_16</t>
  </si>
  <si>
    <t>Product_17</t>
  </si>
  <si>
    <t>Product_18</t>
  </si>
  <si>
    <t>Product_19</t>
  </si>
  <si>
    <t>7. Retrieve the Price of the product from the second row using  HLOOKUP</t>
  </si>
  <si>
    <t>[  =HLOOKUP(D3,A3:D3,1,0)  ]</t>
  </si>
  <si>
    <t>Product_20</t>
  </si>
  <si>
    <t>Product_21</t>
  </si>
  <si>
    <t>8. Find the Product Name with ID 99 using INDEX_MATCH</t>
  </si>
  <si>
    <t>[  =INDEX(B:B,MATCH(99,A:A,0))  ]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</si>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</sst>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AA1C-00E6-4A4C-A8F5-E211223B9CD4}">
  <dimension ref="A1:W109"/>
  <sheetViews>
    <sheetView tabSelected="1" workbookViewId="0">
      <selection sqref="A1:XFD1048576"/>
    </sheetView>
  </sheetViews>
  <sheetFormatPr defaultRowHeight="14.4" x14ac:dyDescent="0.3"/>
  <cols>
    <col min="1" max="1" width="10.5546875" customWidth="1"/>
    <col min="2" max="2" width="14.88671875" customWidth="1"/>
    <col min="3" max="3" width="18" customWidth="1"/>
    <col min="4" max="4" width="8.33203125" customWidth="1"/>
    <col min="5" max="5" width="8.6640625" customWidth="1"/>
    <col min="6" max="6" width="15.88671875" customWidth="1"/>
    <col min="16" max="16" width="10.77734375" customWidth="1"/>
    <col min="17" max="17" width="17.5546875" customWidth="1"/>
    <col min="18" max="18" width="13.44140625" customWidth="1"/>
    <col min="23" max="23" width="10.5546875" customWidth="1"/>
  </cols>
  <sheetData>
    <row r="1" spans="1:23" ht="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23" x14ac:dyDescent="0.3">
      <c r="A2" s="3">
        <v>1</v>
      </c>
      <c r="B2" s="4" t="s">
        <v>7</v>
      </c>
      <c r="C2" s="4" t="s">
        <v>8</v>
      </c>
      <c r="D2" s="3">
        <v>752</v>
      </c>
      <c r="E2" s="3">
        <v>231</v>
      </c>
      <c r="F2" s="4" t="s">
        <v>9</v>
      </c>
    </row>
    <row r="3" spans="1:23" ht="15.6" x14ac:dyDescent="0.3">
      <c r="A3" s="3">
        <v>2</v>
      </c>
      <c r="B3" s="4" t="s">
        <v>10</v>
      </c>
      <c r="C3" s="4" t="s">
        <v>11</v>
      </c>
      <c r="D3" s="3">
        <v>451</v>
      </c>
      <c r="E3" s="3">
        <v>494</v>
      </c>
      <c r="F3" s="4" t="s">
        <v>9</v>
      </c>
      <c r="H3" s="5" t="s">
        <v>12</v>
      </c>
      <c r="P3" s="6" t="s">
        <v>13</v>
      </c>
      <c r="R3" s="7">
        <f>VLOOKUP(A26,A:D,4,0)</f>
        <v>266</v>
      </c>
      <c r="S3" s="8" t="s">
        <v>14</v>
      </c>
    </row>
    <row r="4" spans="1:23" ht="15.6" x14ac:dyDescent="0.3">
      <c r="A4" s="3">
        <v>3</v>
      </c>
      <c r="B4" s="4" t="s">
        <v>15</v>
      </c>
      <c r="C4" s="4" t="s">
        <v>16</v>
      </c>
      <c r="D4" s="3">
        <v>779</v>
      </c>
      <c r="E4" s="3">
        <v>416</v>
      </c>
      <c r="F4" s="4" t="s">
        <v>17</v>
      </c>
      <c r="H4" s="5"/>
      <c r="R4" s="7"/>
    </row>
    <row r="5" spans="1:23" ht="15.6" x14ac:dyDescent="0.3">
      <c r="A5" s="3">
        <v>4</v>
      </c>
      <c r="B5" s="4" t="s">
        <v>18</v>
      </c>
      <c r="C5" s="4" t="s">
        <v>8</v>
      </c>
      <c r="D5" s="3">
        <v>605</v>
      </c>
      <c r="E5" s="3">
        <v>240</v>
      </c>
      <c r="F5" s="4" t="s">
        <v>9</v>
      </c>
      <c r="H5" s="5" t="s">
        <v>19</v>
      </c>
      <c r="P5" s="6" t="s">
        <v>13</v>
      </c>
      <c r="R5" s="7">
        <f>VLOOKUP(B51,B:E,4,0)</f>
        <v>146</v>
      </c>
      <c r="S5" s="8" t="s">
        <v>20</v>
      </c>
    </row>
    <row r="6" spans="1:23" ht="15.6" x14ac:dyDescent="0.3">
      <c r="A6" s="3">
        <v>5</v>
      </c>
      <c r="B6" s="4" t="s">
        <v>21</v>
      </c>
      <c r="C6" s="4" t="s">
        <v>8</v>
      </c>
      <c r="D6" s="3">
        <v>211</v>
      </c>
      <c r="E6" s="3">
        <v>246</v>
      </c>
      <c r="F6" s="4" t="s">
        <v>22</v>
      </c>
      <c r="H6" s="5"/>
      <c r="R6" s="7"/>
    </row>
    <row r="7" spans="1:23" ht="15.6" x14ac:dyDescent="0.3">
      <c r="A7" s="3">
        <v>6</v>
      </c>
      <c r="B7" s="4" t="s">
        <v>23</v>
      </c>
      <c r="C7" s="4" t="s">
        <v>11</v>
      </c>
      <c r="D7" s="3">
        <v>251</v>
      </c>
      <c r="E7" s="3">
        <v>152</v>
      </c>
      <c r="F7" s="4" t="s">
        <v>9</v>
      </c>
      <c r="H7" s="5" t="s">
        <v>24</v>
      </c>
      <c r="P7" s="6" t="s">
        <v>13</v>
      </c>
      <c r="R7" s="7" t="str">
        <f>VLOOKUP(MAX(D:D),D:F,3,0)</f>
        <v>Supplier_C</v>
      </c>
      <c r="S7" s="8" t="s">
        <v>25</v>
      </c>
    </row>
    <row r="8" spans="1:23" ht="15.6" x14ac:dyDescent="0.3">
      <c r="A8" s="3">
        <v>7</v>
      </c>
      <c r="B8" s="4" t="s">
        <v>26</v>
      </c>
      <c r="C8" s="4" t="s">
        <v>16</v>
      </c>
      <c r="D8" s="3">
        <v>319</v>
      </c>
      <c r="E8" s="3">
        <v>180</v>
      </c>
      <c r="F8" s="4" t="s">
        <v>27</v>
      </c>
      <c r="H8" s="5"/>
      <c r="R8" s="7"/>
    </row>
    <row r="9" spans="1:23" ht="15.6" x14ac:dyDescent="0.3">
      <c r="A9" s="3">
        <v>8</v>
      </c>
      <c r="B9" s="4" t="s">
        <v>28</v>
      </c>
      <c r="C9" s="4" t="s">
        <v>16</v>
      </c>
      <c r="D9" s="3">
        <v>912</v>
      </c>
      <c r="E9" s="3">
        <v>38</v>
      </c>
      <c r="F9" s="4" t="s">
        <v>17</v>
      </c>
      <c r="H9" s="5" t="s">
        <v>29</v>
      </c>
      <c r="P9" s="6" t="s">
        <v>13</v>
      </c>
      <c r="R9" s="7" t="str">
        <f>_xlfn.XLOOKUP(MIN(E:E),E:E,C:C)</f>
        <v>Home Appliances</v>
      </c>
      <c r="S9" s="8" t="s">
        <v>30</v>
      </c>
    </row>
    <row r="10" spans="1:23" ht="15.6" x14ac:dyDescent="0.3">
      <c r="A10" s="3">
        <v>9</v>
      </c>
      <c r="B10" s="4" t="s">
        <v>31</v>
      </c>
      <c r="C10" s="4" t="s">
        <v>8</v>
      </c>
      <c r="D10" s="3">
        <v>865</v>
      </c>
      <c r="E10" s="3">
        <v>45</v>
      </c>
      <c r="F10" s="4" t="s">
        <v>22</v>
      </c>
      <c r="H10" s="5"/>
      <c r="R10" s="7"/>
    </row>
    <row r="11" spans="1:23" ht="15.6" x14ac:dyDescent="0.3">
      <c r="A11" s="3">
        <v>10</v>
      </c>
      <c r="B11" s="4" t="s">
        <v>32</v>
      </c>
      <c r="C11" s="4" t="s">
        <v>33</v>
      </c>
      <c r="D11" s="3">
        <v>320</v>
      </c>
      <c r="E11" s="3">
        <v>22</v>
      </c>
      <c r="F11" s="4" t="s">
        <v>17</v>
      </c>
      <c r="H11" s="5" t="s">
        <v>34</v>
      </c>
      <c r="P11" s="6" t="s">
        <v>13</v>
      </c>
      <c r="R11" s="7" t="str" cm="1">
        <f t="array" ref="R11">INDEX(B:B, MATCH(1, (C:C= "Electronics")*(F:F= "Supplier_C"),0))</f>
        <v>Product_32</v>
      </c>
      <c r="S11" s="8" t="s">
        <v>35</v>
      </c>
    </row>
    <row r="12" spans="1:23" ht="15.6" x14ac:dyDescent="0.3">
      <c r="A12" s="3">
        <v>11</v>
      </c>
      <c r="B12" s="4" t="s">
        <v>36</v>
      </c>
      <c r="C12" s="4" t="s">
        <v>8</v>
      </c>
      <c r="D12" s="3">
        <v>505</v>
      </c>
      <c r="E12" s="3">
        <v>169</v>
      </c>
      <c r="F12" s="4" t="s">
        <v>27</v>
      </c>
      <c r="H12" s="5"/>
      <c r="R12" s="7"/>
    </row>
    <row r="13" spans="1:23" ht="15.6" x14ac:dyDescent="0.3">
      <c r="A13" s="3">
        <v>12</v>
      </c>
      <c r="B13" s="4" t="s">
        <v>37</v>
      </c>
      <c r="C13" s="4" t="s">
        <v>8</v>
      </c>
      <c r="D13" s="3">
        <v>511</v>
      </c>
      <c r="E13" s="3">
        <v>336</v>
      </c>
      <c r="F13" s="4" t="s">
        <v>27</v>
      </c>
      <c r="H13" s="5" t="s">
        <v>38</v>
      </c>
      <c r="P13" s="6" t="s">
        <v>13</v>
      </c>
      <c r="Q13" s="9" t="s">
        <v>39</v>
      </c>
      <c r="R13" s="7" t="str">
        <f>IF(VLOOKUP(A16,A:E,5,FALSE)&lt;100,"Yes","No")</f>
        <v>Yes</v>
      </c>
      <c r="S13" s="8" t="s">
        <v>40</v>
      </c>
    </row>
    <row r="14" spans="1:23" ht="15.6" x14ac:dyDescent="0.3">
      <c r="A14" s="3">
        <v>13</v>
      </c>
      <c r="B14" s="4" t="s">
        <v>41</v>
      </c>
      <c r="C14" s="4" t="s">
        <v>8</v>
      </c>
      <c r="D14" s="3">
        <v>776</v>
      </c>
      <c r="E14" s="3">
        <v>196</v>
      </c>
      <c r="F14" s="4" t="s">
        <v>27</v>
      </c>
      <c r="H14" s="5" t="s">
        <v>42</v>
      </c>
      <c r="Q14" s="9" t="s">
        <v>43</v>
      </c>
      <c r="R14" s="7" t="str">
        <f>IF(VLOOKUP(A16,A:E,5,FALSE)&lt;100, VLOOKUP(15,A:E,2,FALSE), "No product")</f>
        <v>Product_15</v>
      </c>
      <c r="S14" s="8" t="s">
        <v>44</v>
      </c>
    </row>
    <row r="15" spans="1:23" ht="15.6" x14ac:dyDescent="0.3">
      <c r="A15" s="3">
        <v>14</v>
      </c>
      <c r="B15" s="4" t="s">
        <v>45</v>
      </c>
      <c r="C15" s="4" t="s">
        <v>8</v>
      </c>
      <c r="D15" s="3">
        <v>301</v>
      </c>
      <c r="E15" s="3">
        <v>252</v>
      </c>
      <c r="F15" s="4" t="s">
        <v>9</v>
      </c>
      <c r="H15" s="5"/>
      <c r="N15" s="6"/>
      <c r="R15" s="7"/>
    </row>
    <row r="16" spans="1:23" x14ac:dyDescent="0.3">
      <c r="A16" s="3">
        <v>15</v>
      </c>
      <c r="B16" s="4" t="s">
        <v>46</v>
      </c>
      <c r="C16" s="4" t="s">
        <v>11</v>
      </c>
      <c r="D16" s="3">
        <v>751</v>
      </c>
      <c r="E16" s="3">
        <v>95</v>
      </c>
      <c r="F16" s="4" t="s">
        <v>9</v>
      </c>
      <c r="Q16" s="6" t="s">
        <v>47</v>
      </c>
      <c r="W16" s="10" t="str">
        <f t="shared" ref="W16:W79" si="0">IF(VLOOKUP(A2,$A$2:$F$101,5,FALSE)&lt;100,B25," No ")</f>
        <v xml:space="preserve"> No </v>
      </c>
    </row>
    <row r="17" spans="1:23" x14ac:dyDescent="0.3">
      <c r="A17" s="3">
        <v>16</v>
      </c>
      <c r="B17" s="4" t="s">
        <v>48</v>
      </c>
      <c r="C17" s="4" t="s">
        <v>16</v>
      </c>
      <c r="D17" s="3">
        <v>345</v>
      </c>
      <c r="E17" s="3">
        <v>293</v>
      </c>
      <c r="F17" s="4" t="s">
        <v>17</v>
      </c>
      <c r="W17" s="10" t="str">
        <f t="shared" si="0"/>
        <v xml:space="preserve"> No </v>
      </c>
    </row>
    <row r="18" spans="1:23" x14ac:dyDescent="0.3">
      <c r="A18" s="3">
        <v>17</v>
      </c>
      <c r="B18" s="4" t="s">
        <v>49</v>
      </c>
      <c r="C18" s="4" t="s">
        <v>11</v>
      </c>
      <c r="D18" s="3">
        <v>774</v>
      </c>
      <c r="E18" s="3">
        <v>75</v>
      </c>
      <c r="F18" s="4" t="s">
        <v>17</v>
      </c>
      <c r="W18" s="10" t="str">
        <f t="shared" si="0"/>
        <v xml:space="preserve"> No </v>
      </c>
    </row>
    <row r="19" spans="1:23" x14ac:dyDescent="0.3">
      <c r="A19" s="3">
        <v>18</v>
      </c>
      <c r="B19" s="4" t="s">
        <v>50</v>
      </c>
      <c r="C19" s="4" t="s">
        <v>11</v>
      </c>
      <c r="D19" s="3">
        <v>769</v>
      </c>
      <c r="E19" s="3">
        <v>179</v>
      </c>
      <c r="F19" s="4" t="s">
        <v>22</v>
      </c>
      <c r="W19" s="10" t="str">
        <f t="shared" si="0"/>
        <v xml:space="preserve"> No </v>
      </c>
    </row>
    <row r="20" spans="1:23" ht="15.6" x14ac:dyDescent="0.3">
      <c r="A20" s="3">
        <v>19</v>
      </c>
      <c r="B20" s="4" t="s">
        <v>51</v>
      </c>
      <c r="C20" s="4" t="s">
        <v>11</v>
      </c>
      <c r="D20" s="3">
        <v>798</v>
      </c>
      <c r="E20" s="3">
        <v>54</v>
      </c>
      <c r="F20" s="4" t="s">
        <v>22</v>
      </c>
      <c r="H20" s="5" t="s">
        <v>52</v>
      </c>
      <c r="P20" s="6" t="s">
        <v>13</v>
      </c>
      <c r="R20" s="7">
        <f>HLOOKUP(D3,A3:D3,1,0)</f>
        <v>451</v>
      </c>
      <c r="S20" s="8" t="s">
        <v>53</v>
      </c>
      <c r="W20" s="10" t="str">
        <f t="shared" si="0"/>
        <v xml:space="preserve"> No </v>
      </c>
    </row>
    <row r="21" spans="1:23" ht="15.6" x14ac:dyDescent="0.3">
      <c r="A21" s="3">
        <v>20</v>
      </c>
      <c r="B21" s="4" t="s">
        <v>54</v>
      </c>
      <c r="C21" s="4" t="s">
        <v>8</v>
      </c>
      <c r="D21" s="3">
        <v>387</v>
      </c>
      <c r="E21" s="3">
        <v>71</v>
      </c>
      <c r="F21" s="4" t="s">
        <v>17</v>
      </c>
      <c r="H21" s="5"/>
      <c r="R21" s="7"/>
      <c r="W21" s="10" t="str">
        <f t="shared" si="0"/>
        <v xml:space="preserve"> No </v>
      </c>
    </row>
    <row r="22" spans="1:23" ht="15.6" x14ac:dyDescent="0.3">
      <c r="A22" s="3">
        <v>21</v>
      </c>
      <c r="B22" s="4" t="s">
        <v>55</v>
      </c>
      <c r="C22" s="4" t="s">
        <v>33</v>
      </c>
      <c r="D22" s="3">
        <v>928</v>
      </c>
      <c r="E22" s="3">
        <v>450</v>
      </c>
      <c r="F22" s="4" t="s">
        <v>9</v>
      </c>
      <c r="H22" s="5" t="s">
        <v>56</v>
      </c>
      <c r="P22" s="6" t="s">
        <v>13</v>
      </c>
      <c r="R22" s="7" t="str">
        <f>INDEX(B:B,MATCH(99,A:A,0))</f>
        <v>Product_99</v>
      </c>
      <c r="S22" s="8" t="s">
        <v>57</v>
      </c>
      <c r="W22" s="10" t="str">
        <f t="shared" si="0"/>
        <v xml:space="preserve"> No </v>
      </c>
    </row>
    <row r="23" spans="1:23" x14ac:dyDescent="0.3">
      <c r="A23" s="3">
        <v>22</v>
      </c>
      <c r="B23" s="4" t="s">
        <v>58</v>
      </c>
      <c r="C23" s="4" t="s">
        <v>16</v>
      </c>
      <c r="D23" s="3">
        <v>102</v>
      </c>
      <c r="E23" s="3">
        <v>143</v>
      </c>
      <c r="F23" s="4" t="s">
        <v>27</v>
      </c>
      <c r="K23" t="str">
        <f>IF(VLOOKUP(A2,$A$1:$F$101,5,FALSE)&lt;100,B2," ")</f>
        <v xml:space="preserve"> </v>
      </c>
      <c r="W23" s="10" t="str">
        <f t="shared" si="0"/>
        <v>Product_31</v>
      </c>
    </row>
    <row r="24" spans="1:23" x14ac:dyDescent="0.3">
      <c r="A24" s="3">
        <v>23</v>
      </c>
      <c r="B24" s="4" t="s">
        <v>59</v>
      </c>
      <c r="C24" s="4" t="s">
        <v>33</v>
      </c>
      <c r="D24" s="3">
        <v>841</v>
      </c>
      <c r="E24" s="3">
        <v>293</v>
      </c>
      <c r="F24" s="4" t="s">
        <v>17</v>
      </c>
      <c r="W24" s="10" t="str">
        <f t="shared" si="0"/>
        <v>Product_32</v>
      </c>
    </row>
    <row r="25" spans="1:23" x14ac:dyDescent="0.3">
      <c r="A25" s="3">
        <v>24</v>
      </c>
      <c r="B25" s="4" t="s">
        <v>60</v>
      </c>
      <c r="C25" s="4" t="s">
        <v>11</v>
      </c>
      <c r="D25" s="3">
        <v>971</v>
      </c>
      <c r="E25" s="3">
        <v>37</v>
      </c>
      <c r="F25" s="4" t="s">
        <v>22</v>
      </c>
      <c r="W25" s="10" t="str">
        <f t="shared" si="0"/>
        <v>Product_33</v>
      </c>
    </row>
    <row r="26" spans="1:23" x14ac:dyDescent="0.3">
      <c r="A26" s="3">
        <v>25</v>
      </c>
      <c r="B26" s="4" t="s">
        <v>61</v>
      </c>
      <c r="C26" s="4" t="s">
        <v>11</v>
      </c>
      <c r="D26" s="3">
        <v>266</v>
      </c>
      <c r="E26" s="3">
        <v>117</v>
      </c>
      <c r="F26" s="4" t="s">
        <v>9</v>
      </c>
      <c r="W26" s="10" t="str">
        <f t="shared" si="0"/>
        <v xml:space="preserve"> No </v>
      </c>
    </row>
    <row r="27" spans="1:23" x14ac:dyDescent="0.3">
      <c r="A27" s="3">
        <v>26</v>
      </c>
      <c r="B27" s="4" t="s">
        <v>62</v>
      </c>
      <c r="C27" s="4" t="s">
        <v>33</v>
      </c>
      <c r="D27" s="3">
        <v>813</v>
      </c>
      <c r="E27" s="3">
        <v>53</v>
      </c>
      <c r="F27" s="4" t="s">
        <v>17</v>
      </c>
      <c r="W27" s="10" t="str">
        <f t="shared" si="0"/>
        <v xml:space="preserve"> No </v>
      </c>
    </row>
    <row r="28" spans="1:23" x14ac:dyDescent="0.3">
      <c r="A28" s="3">
        <v>27</v>
      </c>
      <c r="B28" s="4" t="s">
        <v>63</v>
      </c>
      <c r="C28" s="4" t="s">
        <v>33</v>
      </c>
      <c r="D28" s="3">
        <v>237</v>
      </c>
      <c r="E28" s="3">
        <v>349</v>
      </c>
      <c r="F28" s="4" t="s">
        <v>17</v>
      </c>
      <c r="W28" s="10" t="str">
        <f t="shared" si="0"/>
        <v xml:space="preserve"> No </v>
      </c>
    </row>
    <row r="29" spans="1:23" x14ac:dyDescent="0.3">
      <c r="A29" s="3">
        <v>28</v>
      </c>
      <c r="B29" s="4" t="s">
        <v>64</v>
      </c>
      <c r="C29" s="4" t="s">
        <v>33</v>
      </c>
      <c r="D29" s="3">
        <v>429</v>
      </c>
      <c r="E29" s="3">
        <v>295</v>
      </c>
      <c r="F29" s="4" t="s">
        <v>9</v>
      </c>
      <c r="W29" s="10" t="str">
        <f t="shared" si="0"/>
        <v xml:space="preserve"> No </v>
      </c>
    </row>
    <row r="30" spans="1:23" x14ac:dyDescent="0.3">
      <c r="A30" s="3">
        <v>29</v>
      </c>
      <c r="B30" s="4" t="s">
        <v>65</v>
      </c>
      <c r="C30" s="4" t="s">
        <v>11</v>
      </c>
      <c r="D30" s="3">
        <v>542</v>
      </c>
      <c r="E30" s="3">
        <v>455</v>
      </c>
      <c r="F30" s="4" t="s">
        <v>17</v>
      </c>
      <c r="W30" s="10" t="str">
        <f t="shared" si="0"/>
        <v>Product_38</v>
      </c>
    </row>
    <row r="31" spans="1:23" x14ac:dyDescent="0.3">
      <c r="A31" s="3">
        <v>30</v>
      </c>
      <c r="B31" s="4" t="s">
        <v>66</v>
      </c>
      <c r="C31" s="4" t="s">
        <v>11</v>
      </c>
      <c r="D31" s="3">
        <v>90</v>
      </c>
      <c r="E31" s="3">
        <v>340</v>
      </c>
      <c r="F31" s="4" t="s">
        <v>9</v>
      </c>
      <c r="W31" s="10" t="str">
        <f t="shared" si="0"/>
        <v xml:space="preserve"> No </v>
      </c>
    </row>
    <row r="32" spans="1:23" x14ac:dyDescent="0.3">
      <c r="A32" s="3">
        <v>31</v>
      </c>
      <c r="B32" s="4" t="s">
        <v>67</v>
      </c>
      <c r="C32" s="4" t="s">
        <v>16</v>
      </c>
      <c r="D32" s="3">
        <v>206</v>
      </c>
      <c r="E32" s="3">
        <v>137</v>
      </c>
      <c r="F32" s="4" t="s">
        <v>27</v>
      </c>
      <c r="W32" s="10" t="str">
        <f t="shared" si="0"/>
        <v>Product_40</v>
      </c>
    </row>
    <row r="33" spans="1:23" x14ac:dyDescent="0.3">
      <c r="A33" s="3">
        <v>32</v>
      </c>
      <c r="B33" s="4" t="s">
        <v>68</v>
      </c>
      <c r="C33" s="4" t="s">
        <v>16</v>
      </c>
      <c r="D33" s="3">
        <v>64</v>
      </c>
      <c r="E33" s="3">
        <v>357</v>
      </c>
      <c r="F33" s="4" t="s">
        <v>9</v>
      </c>
      <c r="W33" s="10" t="str">
        <f t="shared" si="0"/>
        <v xml:space="preserve"> No </v>
      </c>
    </row>
    <row r="34" spans="1:23" x14ac:dyDescent="0.3">
      <c r="A34" s="3">
        <v>33</v>
      </c>
      <c r="B34" s="4" t="s">
        <v>69</v>
      </c>
      <c r="C34" s="4" t="s">
        <v>11</v>
      </c>
      <c r="D34" s="3">
        <v>862</v>
      </c>
      <c r="E34" s="3">
        <v>482</v>
      </c>
      <c r="F34" s="4" t="s">
        <v>9</v>
      </c>
      <c r="W34" s="10" t="str">
        <f t="shared" si="0"/>
        <v>Product_42</v>
      </c>
    </row>
    <row r="35" spans="1:23" x14ac:dyDescent="0.3">
      <c r="A35" s="3">
        <v>34</v>
      </c>
      <c r="B35" s="4" t="s">
        <v>70</v>
      </c>
      <c r="C35" s="4" t="s">
        <v>33</v>
      </c>
      <c r="D35" s="3">
        <v>114</v>
      </c>
      <c r="E35" s="3">
        <v>240</v>
      </c>
      <c r="F35" s="4" t="s">
        <v>9</v>
      </c>
      <c r="W35" s="10" t="str">
        <f t="shared" si="0"/>
        <v>Product_43</v>
      </c>
    </row>
    <row r="36" spans="1:23" x14ac:dyDescent="0.3">
      <c r="A36" s="3">
        <v>35</v>
      </c>
      <c r="B36" s="4" t="s">
        <v>71</v>
      </c>
      <c r="C36" s="4" t="s">
        <v>33</v>
      </c>
      <c r="D36" s="3">
        <v>906</v>
      </c>
      <c r="E36" s="3">
        <v>199</v>
      </c>
      <c r="F36" s="4" t="s">
        <v>17</v>
      </c>
      <c r="W36" s="10" t="str">
        <f t="shared" si="0"/>
        <v xml:space="preserve"> No </v>
      </c>
    </row>
    <row r="37" spans="1:23" x14ac:dyDescent="0.3">
      <c r="A37" s="3">
        <v>36</v>
      </c>
      <c r="B37" s="4" t="s">
        <v>72</v>
      </c>
      <c r="C37" s="4" t="s">
        <v>16</v>
      </c>
      <c r="D37" s="3">
        <v>888</v>
      </c>
      <c r="E37" s="3">
        <v>234</v>
      </c>
      <c r="F37" s="4" t="s">
        <v>17</v>
      </c>
      <c r="W37" s="10" t="str">
        <f t="shared" si="0"/>
        <v xml:space="preserve"> No </v>
      </c>
    </row>
    <row r="38" spans="1:23" x14ac:dyDescent="0.3">
      <c r="A38" s="3">
        <v>37</v>
      </c>
      <c r="B38" s="4" t="s">
        <v>73</v>
      </c>
      <c r="C38" s="4" t="s">
        <v>11</v>
      </c>
      <c r="D38" s="3">
        <v>570</v>
      </c>
      <c r="E38" s="3">
        <v>394</v>
      </c>
      <c r="F38" s="4" t="s">
        <v>9</v>
      </c>
      <c r="W38" s="10" t="str">
        <f t="shared" si="0"/>
        <v xml:space="preserve"> No </v>
      </c>
    </row>
    <row r="39" spans="1:23" x14ac:dyDescent="0.3">
      <c r="A39" s="3">
        <v>38</v>
      </c>
      <c r="B39" s="4" t="s">
        <v>74</v>
      </c>
      <c r="C39" s="4" t="s">
        <v>16</v>
      </c>
      <c r="D39" s="3">
        <v>393</v>
      </c>
      <c r="E39" s="3">
        <v>386</v>
      </c>
      <c r="F39" s="4" t="s">
        <v>17</v>
      </c>
      <c r="W39" s="10" t="str">
        <f t="shared" si="0"/>
        <v>Product_47</v>
      </c>
    </row>
    <row r="40" spans="1:23" x14ac:dyDescent="0.3">
      <c r="A40" s="3">
        <v>39</v>
      </c>
      <c r="B40" s="4" t="s">
        <v>75</v>
      </c>
      <c r="C40" s="4" t="s">
        <v>16</v>
      </c>
      <c r="D40" s="3">
        <v>178</v>
      </c>
      <c r="E40" s="3">
        <v>292</v>
      </c>
      <c r="F40" s="4" t="s">
        <v>22</v>
      </c>
      <c r="W40" s="10" t="str">
        <f t="shared" si="0"/>
        <v xml:space="preserve"> No </v>
      </c>
    </row>
    <row r="41" spans="1:23" x14ac:dyDescent="0.3">
      <c r="A41" s="3">
        <v>40</v>
      </c>
      <c r="B41" s="4" t="s">
        <v>76</v>
      </c>
      <c r="C41" s="4" t="s">
        <v>8</v>
      </c>
      <c r="D41" s="3">
        <v>697</v>
      </c>
      <c r="E41" s="3">
        <v>455</v>
      </c>
      <c r="F41" s="4" t="s">
        <v>22</v>
      </c>
      <c r="W41" s="10" t="str">
        <f t="shared" si="0"/>
        <v>Product_49</v>
      </c>
    </row>
    <row r="42" spans="1:23" x14ac:dyDescent="0.3">
      <c r="A42" s="3">
        <v>41</v>
      </c>
      <c r="B42" s="4" t="s">
        <v>77</v>
      </c>
      <c r="C42" s="4" t="s">
        <v>8</v>
      </c>
      <c r="D42" s="3">
        <v>521</v>
      </c>
      <c r="E42" s="3">
        <v>130</v>
      </c>
      <c r="F42" s="4" t="s">
        <v>17</v>
      </c>
      <c r="W42" s="10" t="str">
        <f t="shared" si="0"/>
        <v xml:space="preserve"> No </v>
      </c>
    </row>
    <row r="43" spans="1:23" x14ac:dyDescent="0.3">
      <c r="A43" s="3">
        <v>42</v>
      </c>
      <c r="B43" s="4" t="s">
        <v>78</v>
      </c>
      <c r="C43" s="4" t="s">
        <v>8</v>
      </c>
      <c r="D43" s="3">
        <v>112</v>
      </c>
      <c r="E43" s="3">
        <v>125</v>
      </c>
      <c r="F43" s="4" t="s">
        <v>17</v>
      </c>
      <c r="W43" s="10" t="str">
        <f t="shared" si="0"/>
        <v xml:space="preserve"> No </v>
      </c>
    </row>
    <row r="44" spans="1:23" x14ac:dyDescent="0.3">
      <c r="A44" s="3">
        <v>43</v>
      </c>
      <c r="B44" s="4" t="s">
        <v>79</v>
      </c>
      <c r="C44" s="4" t="s">
        <v>33</v>
      </c>
      <c r="D44" s="3">
        <v>188</v>
      </c>
      <c r="E44" s="3">
        <v>470</v>
      </c>
      <c r="F44" s="4" t="s">
        <v>9</v>
      </c>
      <c r="W44" s="10" t="str">
        <f t="shared" si="0"/>
        <v xml:space="preserve"> No </v>
      </c>
    </row>
    <row r="45" spans="1:23" x14ac:dyDescent="0.3">
      <c r="A45" s="3">
        <v>44</v>
      </c>
      <c r="B45" s="4" t="s">
        <v>80</v>
      </c>
      <c r="C45" s="4" t="s">
        <v>11</v>
      </c>
      <c r="D45" s="3">
        <v>548</v>
      </c>
      <c r="E45" s="3">
        <v>242</v>
      </c>
      <c r="F45" s="4" t="s">
        <v>27</v>
      </c>
      <c r="W45" s="10" t="str">
        <f t="shared" si="0"/>
        <v xml:space="preserve"> No </v>
      </c>
    </row>
    <row r="46" spans="1:23" x14ac:dyDescent="0.3">
      <c r="A46" s="3">
        <v>45</v>
      </c>
      <c r="B46" s="4" t="s">
        <v>81</v>
      </c>
      <c r="C46" s="4" t="s">
        <v>11</v>
      </c>
      <c r="D46" s="3">
        <v>642</v>
      </c>
      <c r="E46" s="3">
        <v>268</v>
      </c>
      <c r="F46" s="4" t="s">
        <v>17</v>
      </c>
      <c r="W46" s="10" t="str">
        <f t="shared" si="0"/>
        <v xml:space="preserve"> No </v>
      </c>
    </row>
    <row r="47" spans="1:23" x14ac:dyDescent="0.3">
      <c r="A47" s="3">
        <v>46</v>
      </c>
      <c r="B47" s="4" t="s">
        <v>82</v>
      </c>
      <c r="C47" s="4" t="s">
        <v>11</v>
      </c>
      <c r="D47" s="3">
        <v>441</v>
      </c>
      <c r="E47" s="3">
        <v>368</v>
      </c>
      <c r="F47" s="4" t="s">
        <v>22</v>
      </c>
      <c r="W47" s="10" t="str">
        <f t="shared" si="0"/>
        <v xml:space="preserve"> No </v>
      </c>
    </row>
    <row r="48" spans="1:23" x14ac:dyDescent="0.3">
      <c r="A48" s="3">
        <v>47</v>
      </c>
      <c r="B48" s="4" t="s">
        <v>83</v>
      </c>
      <c r="C48" s="4" t="s">
        <v>11</v>
      </c>
      <c r="D48" s="3">
        <v>724</v>
      </c>
      <c r="E48" s="3">
        <v>207</v>
      </c>
      <c r="F48" s="4" t="s">
        <v>9</v>
      </c>
      <c r="W48" s="10" t="str">
        <f t="shared" si="0"/>
        <v xml:space="preserve"> No </v>
      </c>
    </row>
    <row r="49" spans="1:23" x14ac:dyDescent="0.3">
      <c r="A49" s="3">
        <v>48</v>
      </c>
      <c r="B49" s="4" t="s">
        <v>84</v>
      </c>
      <c r="C49" s="4" t="s">
        <v>8</v>
      </c>
      <c r="D49" s="3">
        <v>468</v>
      </c>
      <c r="E49" s="3">
        <v>465</v>
      </c>
      <c r="F49" s="4" t="s">
        <v>17</v>
      </c>
      <c r="W49" s="10" t="str">
        <f t="shared" si="0"/>
        <v xml:space="preserve"> No </v>
      </c>
    </row>
    <row r="50" spans="1:23" x14ac:dyDescent="0.3">
      <c r="A50" s="3">
        <v>49</v>
      </c>
      <c r="B50" s="4" t="s">
        <v>85</v>
      </c>
      <c r="C50" s="4" t="s">
        <v>33</v>
      </c>
      <c r="D50" s="3">
        <v>338</v>
      </c>
      <c r="E50" s="3">
        <v>420</v>
      </c>
      <c r="F50" s="4" t="s">
        <v>22</v>
      </c>
      <c r="W50" s="10" t="str">
        <f t="shared" si="0"/>
        <v xml:space="preserve"> No </v>
      </c>
    </row>
    <row r="51" spans="1:23" x14ac:dyDescent="0.3">
      <c r="A51" s="3">
        <v>50</v>
      </c>
      <c r="B51" s="4" t="s">
        <v>86</v>
      </c>
      <c r="C51" s="4" t="s">
        <v>33</v>
      </c>
      <c r="D51" s="3">
        <v>428</v>
      </c>
      <c r="E51" s="3">
        <v>146</v>
      </c>
      <c r="F51" s="4" t="s">
        <v>22</v>
      </c>
      <c r="W51" s="10" t="str">
        <f t="shared" si="0"/>
        <v xml:space="preserve"> No </v>
      </c>
    </row>
    <row r="52" spans="1:23" x14ac:dyDescent="0.3">
      <c r="A52" s="3">
        <v>51</v>
      </c>
      <c r="B52" s="4" t="s">
        <v>87</v>
      </c>
      <c r="C52" s="4" t="s">
        <v>8</v>
      </c>
      <c r="D52" s="3">
        <v>822</v>
      </c>
      <c r="E52" s="3">
        <v>327</v>
      </c>
      <c r="F52" s="4" t="s">
        <v>27</v>
      </c>
      <c r="W52" s="10" t="str">
        <f t="shared" si="0"/>
        <v xml:space="preserve"> No </v>
      </c>
    </row>
    <row r="53" spans="1:23" x14ac:dyDescent="0.3">
      <c r="A53" s="3">
        <v>52</v>
      </c>
      <c r="B53" s="4" t="s">
        <v>88</v>
      </c>
      <c r="C53" s="4" t="s">
        <v>33</v>
      </c>
      <c r="D53" s="3">
        <v>539</v>
      </c>
      <c r="E53" s="3">
        <v>174</v>
      </c>
      <c r="F53" s="4" t="s">
        <v>9</v>
      </c>
      <c r="W53" s="10" t="str">
        <f t="shared" si="0"/>
        <v xml:space="preserve"> No </v>
      </c>
    </row>
    <row r="54" spans="1:23" x14ac:dyDescent="0.3">
      <c r="A54" s="3">
        <v>53</v>
      </c>
      <c r="B54" s="4" t="s">
        <v>89</v>
      </c>
      <c r="C54" s="4" t="s">
        <v>8</v>
      </c>
      <c r="D54" s="3">
        <v>280</v>
      </c>
      <c r="E54" s="3">
        <v>234</v>
      </c>
      <c r="F54" s="4" t="s">
        <v>9</v>
      </c>
      <c r="W54" s="10" t="str">
        <f t="shared" si="0"/>
        <v xml:space="preserve"> No </v>
      </c>
    </row>
    <row r="55" spans="1:23" x14ac:dyDescent="0.3">
      <c r="A55" s="3">
        <v>54</v>
      </c>
      <c r="B55" s="4" t="s">
        <v>90</v>
      </c>
      <c r="C55" s="4" t="s">
        <v>11</v>
      </c>
      <c r="D55" s="3">
        <v>90</v>
      </c>
      <c r="E55" s="3">
        <v>316</v>
      </c>
      <c r="F55" s="4" t="s">
        <v>27</v>
      </c>
      <c r="W55" s="10" t="str">
        <f t="shared" si="0"/>
        <v xml:space="preserve"> No </v>
      </c>
    </row>
    <row r="56" spans="1:23" x14ac:dyDescent="0.3">
      <c r="A56" s="3">
        <v>55</v>
      </c>
      <c r="B56" s="4" t="s">
        <v>91</v>
      </c>
      <c r="C56" s="4" t="s">
        <v>8</v>
      </c>
      <c r="D56" s="3">
        <v>77</v>
      </c>
      <c r="E56" s="3">
        <v>243</v>
      </c>
      <c r="F56" s="4" t="s">
        <v>27</v>
      </c>
      <c r="W56" s="10" t="str">
        <f t="shared" si="0"/>
        <v xml:space="preserve"> No </v>
      </c>
    </row>
    <row r="57" spans="1:23" x14ac:dyDescent="0.3">
      <c r="A57" s="3">
        <v>56</v>
      </c>
      <c r="B57" s="4" t="s">
        <v>92</v>
      </c>
      <c r="C57" s="4" t="s">
        <v>11</v>
      </c>
      <c r="D57" s="3">
        <v>184</v>
      </c>
      <c r="E57" s="3">
        <v>181</v>
      </c>
      <c r="F57" s="4" t="s">
        <v>9</v>
      </c>
      <c r="W57" s="10" t="str">
        <f t="shared" si="0"/>
        <v xml:space="preserve"> No </v>
      </c>
    </row>
    <row r="58" spans="1:23" x14ac:dyDescent="0.3">
      <c r="A58" s="3">
        <v>57</v>
      </c>
      <c r="B58" s="4" t="s">
        <v>93</v>
      </c>
      <c r="C58" s="4" t="s">
        <v>11</v>
      </c>
      <c r="D58" s="3">
        <v>250</v>
      </c>
      <c r="E58" s="3">
        <v>161</v>
      </c>
      <c r="F58" s="4" t="s">
        <v>9</v>
      </c>
      <c r="W58" s="10" t="str">
        <f t="shared" si="0"/>
        <v xml:space="preserve"> No </v>
      </c>
    </row>
    <row r="59" spans="1:23" x14ac:dyDescent="0.3">
      <c r="A59" s="3">
        <v>58</v>
      </c>
      <c r="B59" s="4" t="s">
        <v>94</v>
      </c>
      <c r="C59" s="4" t="s">
        <v>16</v>
      </c>
      <c r="D59" s="3">
        <v>889</v>
      </c>
      <c r="E59" s="3">
        <v>472</v>
      </c>
      <c r="F59" s="4" t="s">
        <v>17</v>
      </c>
      <c r="W59" s="10" t="str">
        <f t="shared" si="0"/>
        <v xml:space="preserve"> No </v>
      </c>
    </row>
    <row r="60" spans="1:23" x14ac:dyDescent="0.3">
      <c r="A60" s="3">
        <v>59</v>
      </c>
      <c r="B60" s="4" t="s">
        <v>95</v>
      </c>
      <c r="C60" s="4" t="s">
        <v>8</v>
      </c>
      <c r="D60" s="3">
        <v>829</v>
      </c>
      <c r="E60" s="3">
        <v>324</v>
      </c>
      <c r="F60" s="4" t="s">
        <v>17</v>
      </c>
      <c r="W60" s="10" t="str">
        <f t="shared" si="0"/>
        <v xml:space="preserve"> No </v>
      </c>
    </row>
    <row r="61" spans="1:23" x14ac:dyDescent="0.3">
      <c r="A61" s="3">
        <v>60</v>
      </c>
      <c r="B61" s="4" t="s">
        <v>96</v>
      </c>
      <c r="C61" s="4" t="s">
        <v>16</v>
      </c>
      <c r="D61" s="3">
        <v>979</v>
      </c>
      <c r="E61" s="3">
        <v>383</v>
      </c>
      <c r="F61" s="4" t="s">
        <v>27</v>
      </c>
      <c r="W61" s="10" t="str">
        <f t="shared" si="0"/>
        <v xml:space="preserve"> No </v>
      </c>
    </row>
    <row r="62" spans="1:23" x14ac:dyDescent="0.3">
      <c r="A62" s="3">
        <v>61</v>
      </c>
      <c r="B62" s="4" t="s">
        <v>97</v>
      </c>
      <c r="C62" s="4" t="s">
        <v>8</v>
      </c>
      <c r="D62" s="3">
        <v>82</v>
      </c>
      <c r="E62" s="3">
        <v>169</v>
      </c>
      <c r="F62" s="4" t="s">
        <v>17</v>
      </c>
      <c r="W62" s="10" t="str">
        <f t="shared" si="0"/>
        <v xml:space="preserve"> No </v>
      </c>
    </row>
    <row r="63" spans="1:23" x14ac:dyDescent="0.3">
      <c r="A63" s="3">
        <v>62</v>
      </c>
      <c r="B63" s="4" t="s">
        <v>98</v>
      </c>
      <c r="C63" s="4" t="s">
        <v>8</v>
      </c>
      <c r="D63" s="3">
        <v>97</v>
      </c>
      <c r="E63" s="3">
        <v>105</v>
      </c>
      <c r="F63" s="4" t="s">
        <v>22</v>
      </c>
      <c r="W63" s="10" t="str">
        <f t="shared" si="0"/>
        <v xml:space="preserve"> No </v>
      </c>
    </row>
    <row r="64" spans="1:23" x14ac:dyDescent="0.3">
      <c r="A64" s="3">
        <v>63</v>
      </c>
      <c r="B64" s="4" t="s">
        <v>99</v>
      </c>
      <c r="C64" s="4" t="s">
        <v>16</v>
      </c>
      <c r="D64" s="3">
        <v>552</v>
      </c>
      <c r="E64" s="3">
        <v>481</v>
      </c>
      <c r="F64" s="4" t="s">
        <v>17</v>
      </c>
      <c r="W64" s="10" t="str">
        <f t="shared" si="0"/>
        <v xml:space="preserve"> No </v>
      </c>
    </row>
    <row r="65" spans="1:23" x14ac:dyDescent="0.3">
      <c r="A65" s="3">
        <v>64</v>
      </c>
      <c r="B65" s="4" t="s">
        <v>100</v>
      </c>
      <c r="C65" s="4" t="s">
        <v>16</v>
      </c>
      <c r="D65" s="3">
        <v>456</v>
      </c>
      <c r="E65" s="3">
        <v>242</v>
      </c>
      <c r="F65" s="4" t="s">
        <v>17</v>
      </c>
      <c r="W65" s="10" t="str">
        <f t="shared" si="0"/>
        <v xml:space="preserve"> No </v>
      </c>
    </row>
    <row r="66" spans="1:23" x14ac:dyDescent="0.3">
      <c r="A66" s="3">
        <v>65</v>
      </c>
      <c r="B66" s="4" t="s">
        <v>101</v>
      </c>
      <c r="C66" s="4" t="s">
        <v>8</v>
      </c>
      <c r="D66" s="3">
        <v>623</v>
      </c>
      <c r="E66" s="3">
        <v>189</v>
      </c>
      <c r="F66" s="4" t="s">
        <v>22</v>
      </c>
      <c r="W66" s="10" t="str">
        <f t="shared" si="0"/>
        <v xml:space="preserve"> No </v>
      </c>
    </row>
    <row r="67" spans="1:23" x14ac:dyDescent="0.3">
      <c r="A67" s="3">
        <v>66</v>
      </c>
      <c r="B67" s="4" t="s">
        <v>102</v>
      </c>
      <c r="C67" s="4" t="s">
        <v>33</v>
      </c>
      <c r="D67" s="3">
        <v>777</v>
      </c>
      <c r="E67" s="3">
        <v>122</v>
      </c>
      <c r="F67" s="4" t="s">
        <v>27</v>
      </c>
      <c r="W67" s="10" t="str">
        <f t="shared" si="0"/>
        <v xml:space="preserve"> No </v>
      </c>
    </row>
    <row r="68" spans="1:23" x14ac:dyDescent="0.3">
      <c r="A68" s="3">
        <v>67</v>
      </c>
      <c r="B68" s="4" t="s">
        <v>103</v>
      </c>
      <c r="C68" s="4" t="s">
        <v>11</v>
      </c>
      <c r="D68" s="3">
        <v>854</v>
      </c>
      <c r="E68" s="3">
        <v>327</v>
      </c>
      <c r="F68" s="4" t="s">
        <v>22</v>
      </c>
      <c r="W68" s="10" t="str">
        <f t="shared" si="0"/>
        <v xml:space="preserve"> No </v>
      </c>
    </row>
    <row r="69" spans="1:23" x14ac:dyDescent="0.3">
      <c r="A69" s="3">
        <v>68</v>
      </c>
      <c r="B69" s="4" t="s">
        <v>104</v>
      </c>
      <c r="C69" s="4" t="s">
        <v>16</v>
      </c>
      <c r="D69" s="3">
        <v>148</v>
      </c>
      <c r="E69" s="3">
        <v>451</v>
      </c>
      <c r="F69" s="4" t="s">
        <v>17</v>
      </c>
      <c r="W69" s="10" t="str">
        <f t="shared" si="0"/>
        <v xml:space="preserve"> No </v>
      </c>
    </row>
    <row r="70" spans="1:23" x14ac:dyDescent="0.3">
      <c r="A70" s="3">
        <v>69</v>
      </c>
      <c r="B70" s="4" t="s">
        <v>105</v>
      </c>
      <c r="C70" s="4" t="s">
        <v>11</v>
      </c>
      <c r="D70" s="3">
        <v>733</v>
      </c>
      <c r="E70" s="3">
        <v>61</v>
      </c>
      <c r="F70" s="4" t="s">
        <v>27</v>
      </c>
      <c r="W70" s="10" t="str">
        <f t="shared" si="0"/>
        <v xml:space="preserve"> No </v>
      </c>
    </row>
    <row r="71" spans="1:23" x14ac:dyDescent="0.3">
      <c r="A71" s="3">
        <v>70</v>
      </c>
      <c r="B71" s="4" t="s">
        <v>106</v>
      </c>
      <c r="C71" s="4" t="s">
        <v>33</v>
      </c>
      <c r="D71" s="3">
        <v>921</v>
      </c>
      <c r="E71" s="3">
        <v>277</v>
      </c>
      <c r="F71" s="4" t="s">
        <v>17</v>
      </c>
      <c r="W71" s="10" t="str">
        <f t="shared" si="0"/>
        <v xml:space="preserve"> No </v>
      </c>
    </row>
    <row r="72" spans="1:23" x14ac:dyDescent="0.3">
      <c r="A72" s="3">
        <v>71</v>
      </c>
      <c r="B72" s="4" t="s">
        <v>107</v>
      </c>
      <c r="C72" s="4" t="s">
        <v>33</v>
      </c>
      <c r="D72" s="3">
        <v>775</v>
      </c>
      <c r="E72" s="3">
        <v>304</v>
      </c>
      <c r="F72" s="4" t="s">
        <v>22</v>
      </c>
      <c r="W72" s="10" t="str">
        <f t="shared" si="0"/>
        <v xml:space="preserve"> No </v>
      </c>
    </row>
    <row r="73" spans="1:23" x14ac:dyDescent="0.3">
      <c r="A73" s="3">
        <v>72</v>
      </c>
      <c r="B73" s="4" t="s">
        <v>108</v>
      </c>
      <c r="C73" s="4" t="s">
        <v>33</v>
      </c>
      <c r="D73" s="3">
        <v>596</v>
      </c>
      <c r="E73" s="3">
        <v>395</v>
      </c>
      <c r="F73" s="4" t="s">
        <v>22</v>
      </c>
      <c r="W73" s="10" t="str">
        <f t="shared" si="0"/>
        <v xml:space="preserve"> No </v>
      </c>
    </row>
    <row r="74" spans="1:23" x14ac:dyDescent="0.3">
      <c r="A74" s="3">
        <v>73</v>
      </c>
      <c r="B74" s="4" t="s">
        <v>109</v>
      </c>
      <c r="C74" s="4" t="s">
        <v>16</v>
      </c>
      <c r="D74" s="3">
        <v>788</v>
      </c>
      <c r="E74" s="3">
        <v>396</v>
      </c>
      <c r="F74" s="4" t="s">
        <v>17</v>
      </c>
      <c r="W74" s="10" t="str">
        <f t="shared" si="0"/>
        <v xml:space="preserve"> No </v>
      </c>
    </row>
    <row r="75" spans="1:23" x14ac:dyDescent="0.3">
      <c r="A75" s="3">
        <v>74</v>
      </c>
      <c r="B75" s="4" t="s">
        <v>110</v>
      </c>
      <c r="C75" s="4" t="s">
        <v>33</v>
      </c>
      <c r="D75" s="3">
        <v>662</v>
      </c>
      <c r="E75" s="3">
        <v>122</v>
      </c>
      <c r="F75" s="4" t="s">
        <v>9</v>
      </c>
      <c r="W75" s="10" t="str">
        <f t="shared" si="0"/>
        <v xml:space="preserve"> No </v>
      </c>
    </row>
    <row r="76" spans="1:23" x14ac:dyDescent="0.3">
      <c r="A76" s="3">
        <v>75</v>
      </c>
      <c r="B76" s="4" t="s">
        <v>111</v>
      </c>
      <c r="C76" s="4" t="s">
        <v>16</v>
      </c>
      <c r="D76" s="3">
        <v>992</v>
      </c>
      <c r="E76" s="3">
        <v>110</v>
      </c>
      <c r="F76" s="4" t="s">
        <v>9</v>
      </c>
      <c r="W76" s="10" t="str">
        <f t="shared" si="0"/>
        <v xml:space="preserve"> No </v>
      </c>
    </row>
    <row r="77" spans="1:23" x14ac:dyDescent="0.3">
      <c r="A77" s="3">
        <v>76</v>
      </c>
      <c r="B77" s="4" t="s">
        <v>112</v>
      </c>
      <c r="C77" s="4" t="s">
        <v>33</v>
      </c>
      <c r="D77" s="3">
        <v>511</v>
      </c>
      <c r="E77" s="3">
        <v>122</v>
      </c>
      <c r="F77" s="4" t="s">
        <v>22</v>
      </c>
      <c r="W77" s="10" t="str">
        <f t="shared" si="0"/>
        <v xml:space="preserve"> No </v>
      </c>
    </row>
    <row r="78" spans="1:23" x14ac:dyDescent="0.3">
      <c r="A78" s="3">
        <v>77</v>
      </c>
      <c r="B78" s="4" t="s">
        <v>113</v>
      </c>
      <c r="C78" s="4" t="s">
        <v>11</v>
      </c>
      <c r="D78" s="3">
        <v>692</v>
      </c>
      <c r="E78" s="3">
        <v>449</v>
      </c>
      <c r="F78" s="4" t="s">
        <v>22</v>
      </c>
      <c r="W78" s="10" t="str">
        <f t="shared" si="0"/>
        <v xml:space="preserve"> No </v>
      </c>
    </row>
    <row r="79" spans="1:23" x14ac:dyDescent="0.3">
      <c r="A79" s="3">
        <v>78</v>
      </c>
      <c r="B79" s="4" t="s">
        <v>114</v>
      </c>
      <c r="C79" s="4" t="s">
        <v>11</v>
      </c>
      <c r="D79" s="3">
        <v>818</v>
      </c>
      <c r="E79" s="3">
        <v>90</v>
      </c>
      <c r="F79" s="4" t="s">
        <v>9</v>
      </c>
      <c r="W79" s="10" t="str">
        <f t="shared" si="0"/>
        <v xml:space="preserve"> No </v>
      </c>
    </row>
    <row r="80" spans="1:23" x14ac:dyDescent="0.3">
      <c r="A80" s="3">
        <v>79</v>
      </c>
      <c r="B80" s="4" t="s">
        <v>115</v>
      </c>
      <c r="C80" s="4" t="s">
        <v>8</v>
      </c>
      <c r="D80" s="3">
        <v>54</v>
      </c>
      <c r="E80" s="3">
        <v>196</v>
      </c>
      <c r="F80" s="4" t="s">
        <v>9</v>
      </c>
      <c r="W80" s="10" t="str">
        <f t="shared" ref="W80:W111" si="1">IF(VLOOKUP(A66,$A$2:$F$101,5,FALSE)&lt;100,B89," No ")</f>
        <v xml:space="preserve"> No </v>
      </c>
    </row>
    <row r="81" spans="1:23" x14ac:dyDescent="0.3">
      <c r="A81" s="3">
        <v>80</v>
      </c>
      <c r="B81" s="4" t="s">
        <v>116</v>
      </c>
      <c r="C81" s="4" t="s">
        <v>11</v>
      </c>
      <c r="D81" s="3">
        <v>267</v>
      </c>
      <c r="E81" s="3">
        <v>122</v>
      </c>
      <c r="F81" s="4" t="s">
        <v>17</v>
      </c>
      <c r="W81" s="10" t="str">
        <f t="shared" si="1"/>
        <v xml:space="preserve"> No </v>
      </c>
    </row>
    <row r="82" spans="1:23" x14ac:dyDescent="0.3">
      <c r="A82" s="3">
        <v>81</v>
      </c>
      <c r="B82" s="4" t="s">
        <v>117</v>
      </c>
      <c r="C82" s="4" t="s">
        <v>8</v>
      </c>
      <c r="D82" s="3">
        <v>552</v>
      </c>
      <c r="E82" s="3">
        <v>11</v>
      </c>
      <c r="F82" s="4" t="s">
        <v>17</v>
      </c>
      <c r="W82" s="10" t="str">
        <f t="shared" si="1"/>
        <v xml:space="preserve"> No </v>
      </c>
    </row>
    <row r="83" spans="1:23" x14ac:dyDescent="0.3">
      <c r="A83" s="3">
        <v>82</v>
      </c>
      <c r="B83" s="4" t="s">
        <v>118</v>
      </c>
      <c r="C83" s="4" t="s">
        <v>11</v>
      </c>
      <c r="D83" s="3">
        <v>816</v>
      </c>
      <c r="E83" s="3">
        <v>139</v>
      </c>
      <c r="F83" s="4" t="s">
        <v>9</v>
      </c>
      <c r="W83" s="10" t="str">
        <f t="shared" si="1"/>
        <v xml:space="preserve"> No </v>
      </c>
    </row>
    <row r="84" spans="1:23" x14ac:dyDescent="0.3">
      <c r="A84" s="3">
        <v>83</v>
      </c>
      <c r="B84" s="4" t="s">
        <v>119</v>
      </c>
      <c r="C84" s="4" t="s">
        <v>16</v>
      </c>
      <c r="D84" s="3">
        <v>447</v>
      </c>
      <c r="E84" s="3">
        <v>229</v>
      </c>
      <c r="F84" s="4" t="s">
        <v>17</v>
      </c>
      <c r="W84" s="10" t="str">
        <f t="shared" si="1"/>
        <v>Product_92</v>
      </c>
    </row>
    <row r="85" spans="1:23" x14ac:dyDescent="0.3">
      <c r="A85" s="3">
        <v>84</v>
      </c>
      <c r="B85" s="4" t="s">
        <v>120</v>
      </c>
      <c r="C85" s="4" t="s">
        <v>11</v>
      </c>
      <c r="D85" s="3">
        <v>920</v>
      </c>
      <c r="E85" s="3">
        <v>63</v>
      </c>
      <c r="F85" s="4" t="s">
        <v>17</v>
      </c>
      <c r="W85" s="10" t="str">
        <f t="shared" si="1"/>
        <v xml:space="preserve"> No </v>
      </c>
    </row>
    <row r="86" spans="1:23" x14ac:dyDescent="0.3">
      <c r="A86" s="3">
        <v>85</v>
      </c>
      <c r="B86" s="4" t="s">
        <v>121</v>
      </c>
      <c r="C86" s="4" t="s">
        <v>8</v>
      </c>
      <c r="D86" s="3">
        <v>844</v>
      </c>
      <c r="E86" s="3">
        <v>352</v>
      </c>
      <c r="F86" s="4" t="s">
        <v>27</v>
      </c>
      <c r="W86" s="10" t="str">
        <f t="shared" si="1"/>
        <v xml:space="preserve"> No </v>
      </c>
    </row>
    <row r="87" spans="1:23" x14ac:dyDescent="0.3">
      <c r="A87" s="3">
        <v>86</v>
      </c>
      <c r="B87" s="4" t="s">
        <v>122</v>
      </c>
      <c r="C87" s="4" t="s">
        <v>8</v>
      </c>
      <c r="D87" s="3">
        <v>442</v>
      </c>
      <c r="E87" s="3">
        <v>494</v>
      </c>
      <c r="F87" s="4" t="s">
        <v>17</v>
      </c>
      <c r="W87" s="10" t="str">
        <f t="shared" si="1"/>
        <v xml:space="preserve"> No </v>
      </c>
    </row>
    <row r="88" spans="1:23" x14ac:dyDescent="0.3">
      <c r="A88" s="3">
        <v>87</v>
      </c>
      <c r="B88" s="4" t="s">
        <v>123</v>
      </c>
      <c r="C88" s="4" t="s">
        <v>33</v>
      </c>
      <c r="D88" s="3">
        <v>256</v>
      </c>
      <c r="E88" s="3">
        <v>233</v>
      </c>
      <c r="F88" s="4" t="s">
        <v>22</v>
      </c>
      <c r="W88" s="10" t="str">
        <f t="shared" si="1"/>
        <v xml:space="preserve"> No </v>
      </c>
    </row>
    <row r="89" spans="1:23" x14ac:dyDescent="0.3">
      <c r="A89" s="3">
        <v>88</v>
      </c>
      <c r="B89" s="4" t="s">
        <v>124</v>
      </c>
      <c r="C89" s="4" t="s">
        <v>16</v>
      </c>
      <c r="D89" s="3">
        <v>64</v>
      </c>
      <c r="E89" s="3">
        <v>234</v>
      </c>
      <c r="F89" s="4" t="s">
        <v>17</v>
      </c>
      <c r="W89" s="10" t="str">
        <f t="shared" si="1"/>
        <v xml:space="preserve"> No </v>
      </c>
    </row>
    <row r="90" spans="1:23" x14ac:dyDescent="0.3">
      <c r="A90" s="3">
        <v>89</v>
      </c>
      <c r="B90" s="4" t="s">
        <v>125</v>
      </c>
      <c r="C90" s="4" t="s">
        <v>11</v>
      </c>
      <c r="D90" s="3">
        <v>907</v>
      </c>
      <c r="E90" s="3">
        <v>394</v>
      </c>
      <c r="F90" s="4" t="s">
        <v>17</v>
      </c>
      <c r="W90" s="10" t="str">
        <f t="shared" si="1"/>
        <v xml:space="preserve"> No </v>
      </c>
    </row>
    <row r="91" spans="1:23" x14ac:dyDescent="0.3">
      <c r="A91" s="3">
        <v>90</v>
      </c>
      <c r="B91" s="4" t="s">
        <v>126</v>
      </c>
      <c r="C91" s="4" t="s">
        <v>33</v>
      </c>
      <c r="D91" s="3">
        <v>603</v>
      </c>
      <c r="E91" s="3">
        <v>412</v>
      </c>
      <c r="F91" s="4" t="s">
        <v>9</v>
      </c>
      <c r="W91" s="10" t="str">
        <f t="shared" si="1"/>
        <v xml:space="preserve"> No </v>
      </c>
    </row>
    <row r="92" spans="1:23" x14ac:dyDescent="0.3">
      <c r="A92" s="3">
        <v>91</v>
      </c>
      <c r="B92" s="4" t="s">
        <v>127</v>
      </c>
      <c r="C92" s="4" t="s">
        <v>11</v>
      </c>
      <c r="D92" s="3">
        <v>941</v>
      </c>
      <c r="E92" s="3">
        <v>135</v>
      </c>
      <c r="F92" s="4" t="s">
        <v>22</v>
      </c>
      <c r="W92" s="10" t="str">
        <f t="shared" si="1"/>
        <v xml:space="preserve"> No </v>
      </c>
    </row>
    <row r="93" spans="1:23" x14ac:dyDescent="0.3">
      <c r="A93" s="3">
        <v>92</v>
      </c>
      <c r="B93" s="4" t="s">
        <v>128</v>
      </c>
      <c r="C93" s="4" t="s">
        <v>11</v>
      </c>
      <c r="D93" s="3">
        <v>510</v>
      </c>
      <c r="E93" s="3">
        <v>139</v>
      </c>
      <c r="F93" s="4" t="s">
        <v>17</v>
      </c>
      <c r="W93" s="8"/>
    </row>
    <row r="94" spans="1:23" x14ac:dyDescent="0.3">
      <c r="A94" s="3">
        <v>93</v>
      </c>
      <c r="B94" s="4" t="s">
        <v>129</v>
      </c>
      <c r="C94" s="4" t="s">
        <v>33</v>
      </c>
      <c r="D94" s="3">
        <v>740</v>
      </c>
      <c r="E94" s="3">
        <v>62</v>
      </c>
      <c r="F94" s="4" t="s">
        <v>17</v>
      </c>
      <c r="W94" s="8"/>
    </row>
    <row r="95" spans="1:23" x14ac:dyDescent="0.3">
      <c r="A95" s="3">
        <v>94</v>
      </c>
      <c r="B95" s="4" t="s">
        <v>130</v>
      </c>
      <c r="C95" s="4" t="s">
        <v>33</v>
      </c>
      <c r="D95" s="3">
        <v>624</v>
      </c>
      <c r="E95" s="3">
        <v>181</v>
      </c>
      <c r="F95" s="4" t="s">
        <v>27</v>
      </c>
      <c r="W95" s="8"/>
    </row>
    <row r="96" spans="1:23" x14ac:dyDescent="0.3">
      <c r="A96" s="3">
        <v>95</v>
      </c>
      <c r="B96" s="4" t="s">
        <v>131</v>
      </c>
      <c r="C96" s="4" t="s">
        <v>33</v>
      </c>
      <c r="D96" s="3">
        <v>913</v>
      </c>
      <c r="E96" s="3">
        <v>227</v>
      </c>
      <c r="F96" s="4" t="s">
        <v>17</v>
      </c>
      <c r="W96" s="8"/>
    </row>
    <row r="97" spans="1:23" x14ac:dyDescent="0.3">
      <c r="A97" s="3">
        <v>96</v>
      </c>
      <c r="B97" s="4" t="s">
        <v>132</v>
      </c>
      <c r="C97" s="4" t="s">
        <v>33</v>
      </c>
      <c r="D97" s="3">
        <v>792</v>
      </c>
      <c r="E97" s="3">
        <v>169</v>
      </c>
      <c r="F97" s="4" t="s">
        <v>17</v>
      </c>
      <c r="W97" s="8"/>
    </row>
    <row r="98" spans="1:23" x14ac:dyDescent="0.3">
      <c r="A98" s="3">
        <v>97</v>
      </c>
      <c r="B98" s="4" t="s">
        <v>133</v>
      </c>
      <c r="C98" s="4" t="s">
        <v>33</v>
      </c>
      <c r="D98" s="3">
        <v>290</v>
      </c>
      <c r="E98" s="3">
        <v>207</v>
      </c>
      <c r="F98" s="4" t="s">
        <v>27</v>
      </c>
      <c r="W98" s="8"/>
    </row>
    <row r="99" spans="1:23" x14ac:dyDescent="0.3">
      <c r="A99" s="3">
        <v>98</v>
      </c>
      <c r="B99" s="4" t="s">
        <v>134</v>
      </c>
      <c r="C99" s="4" t="s">
        <v>11</v>
      </c>
      <c r="D99" s="3">
        <v>613</v>
      </c>
      <c r="E99" s="3">
        <v>425</v>
      </c>
      <c r="F99" s="4" t="s">
        <v>9</v>
      </c>
      <c r="W99" s="8"/>
    </row>
    <row r="100" spans="1:23" x14ac:dyDescent="0.3">
      <c r="A100" s="3">
        <v>99</v>
      </c>
      <c r="B100" s="4" t="s">
        <v>135</v>
      </c>
      <c r="C100" s="4" t="s">
        <v>33</v>
      </c>
      <c r="D100" s="3">
        <v>145</v>
      </c>
      <c r="E100" s="3">
        <v>256</v>
      </c>
      <c r="F100" s="4" t="s">
        <v>17</v>
      </c>
      <c r="W100" s="8"/>
    </row>
    <row r="101" spans="1:23" x14ac:dyDescent="0.3">
      <c r="A101" s="3">
        <v>100</v>
      </c>
      <c r="B101" s="4" t="s">
        <v>136</v>
      </c>
      <c r="C101" s="4" t="s">
        <v>16</v>
      </c>
      <c r="D101" s="3">
        <v>949</v>
      </c>
      <c r="E101" s="3">
        <v>333</v>
      </c>
      <c r="F101" s="4" t="s">
        <v>27</v>
      </c>
      <c r="W101" s="8"/>
    </row>
    <row r="102" spans="1:23" x14ac:dyDescent="0.3">
      <c r="W102" s="8"/>
    </row>
    <row r="103" spans="1:23" x14ac:dyDescent="0.3">
      <c r="W103" s="8"/>
    </row>
    <row r="104" spans="1:23" x14ac:dyDescent="0.3">
      <c r="W104" s="8"/>
    </row>
    <row r="105" spans="1:23" x14ac:dyDescent="0.3">
      <c r="W105" s="8"/>
    </row>
    <row r="106" spans="1:23" x14ac:dyDescent="0.3">
      <c r="W106" s="8"/>
    </row>
    <row r="107" spans="1:23" x14ac:dyDescent="0.3">
      <c r="W107" s="8"/>
    </row>
    <row r="108" spans="1:23" x14ac:dyDescent="0.3">
      <c r="W108" s="8"/>
    </row>
    <row r="109" spans="1:23" x14ac:dyDescent="0.3">
      <c r="W10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sarthak.sahu2448@gmail.com</dc:creator>
  <cp:lastModifiedBy>sarthak.sahu2448@gmail.com</cp:lastModifiedBy>
  <dcterms:created xsi:type="dcterms:W3CDTF">2026-01-13T19:03:43Z</dcterms:created>
  <dcterms:modified xsi:type="dcterms:W3CDTF">2026-01-13T19:06:21Z</dcterms:modified>
</cp:coreProperties>
</file>